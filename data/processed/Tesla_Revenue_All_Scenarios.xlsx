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tesla-optimus-business-analysis\data\processed\"/>
    </mc:Choice>
  </mc:AlternateContent>
  <xr:revisionPtr revIDLastSave="0" documentId="13_ncr:1_{CA71F31E-AFB2-4A1A-BDAB-F8D8A1BCDC07}" xr6:coauthVersionLast="47" xr6:coauthVersionMax="47" xr10:uidLastSave="{00000000-0000-0000-0000-000000000000}"/>
  <bookViews>
    <workbookView xWindow="-98" yWindow="-98" windowWidth="22695" windowHeight="14595" firstSheet="1" activeTab="4" xr2:uid="{00000000-000D-0000-FFFF-FFFF00000000}"/>
  </bookViews>
  <sheets>
    <sheet name="All_2030_Business_Structures" sheetId="1" r:id="rId1"/>
    <sheet name="All_New_Business" sheetId="3" r:id="rId2"/>
    <sheet name="All_Traditional Business" sheetId="4" r:id="rId3"/>
    <sheet name="All_Revenue By Regions" sheetId="5" r:id="rId4"/>
    <sheet name="All_Ultimate Combination" sheetId="2" r:id="rId5"/>
    <sheet name="CAGR_Analysis" sheetId="6" r:id="rId6"/>
  </sheets>
  <definedNames>
    <definedName name="_xlnm._FilterDatabase" localSheetId="3" hidden="1">'All_Revenue By Regions'!$A$1:$G$190</definedName>
    <definedName name="_xlnm._FilterDatabase" localSheetId="2" hidden="1">'All_Traditional Business'!$A$1:$F$1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" i="4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6" i="3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D9" i="6"/>
  <c r="D10" i="6"/>
  <c r="D8" i="6"/>
  <c r="D3" i="6"/>
  <c r="D4" i="6"/>
  <c r="D5" i="6"/>
  <c r="D6" i="6"/>
  <c r="D7" i="6"/>
  <c r="D2" i="6"/>
  <c r="J2" i="6"/>
  <c r="J3" i="6"/>
  <c r="J4" i="6"/>
</calcChain>
</file>

<file path=xl/sharedStrings.xml><?xml version="1.0" encoding="utf-8"?>
<sst xmlns="http://schemas.openxmlformats.org/spreadsheetml/2006/main" count="614" uniqueCount="58">
  <si>
    <t>Optimus</t>
  </si>
  <si>
    <t>Robotaxi</t>
  </si>
  <si>
    <t>2022</t>
  </si>
  <si>
    <t>-</t>
  </si>
  <si>
    <t>2023</t>
  </si>
  <si>
    <t>2024</t>
  </si>
  <si>
    <t>2025</t>
  </si>
  <si>
    <t>2026</t>
  </si>
  <si>
    <t>2027</t>
  </si>
  <si>
    <t>2028</t>
  </si>
  <si>
    <t>2029</t>
  </si>
  <si>
    <t>2030</t>
  </si>
  <si>
    <t>Period</t>
  </si>
  <si>
    <t>CAGR</t>
  </si>
  <si>
    <t>First_Year</t>
  </si>
  <si>
    <t>First_Year_Value</t>
  </si>
  <si>
    <t>Last_Year</t>
  </si>
  <si>
    <t>Last_Year_Value</t>
  </si>
  <si>
    <t>Total_Growth</t>
  </si>
  <si>
    <t>Growth_Rate</t>
  </si>
  <si>
    <t>2024-2030</t>
  </si>
  <si>
    <t>2027-2030</t>
  </si>
  <si>
    <t>Proportion</t>
  </si>
  <si>
    <t>Conservative</t>
  </si>
  <si>
    <t>Normal</t>
  </si>
  <si>
    <t>Optimistic</t>
  </si>
  <si>
    <t>Automobile</t>
  </si>
  <si>
    <t>Energy</t>
  </si>
  <si>
    <t>Service</t>
  </si>
  <si>
    <t>Total revenue</t>
  </si>
  <si>
    <t>YoY Growth</t>
  </si>
  <si>
    <t>Business Structures</t>
  </si>
  <si>
    <t>Scenarios</t>
  </si>
  <si>
    <t>Years</t>
  </si>
  <si>
    <t>Revenue (Dollars In Billions)</t>
  </si>
  <si>
    <t>Optimus (Dollars In Billions)</t>
  </si>
  <si>
    <t>Robotaxi (Dollars In Billions)</t>
  </si>
  <si>
    <t>Total Revenue Of New Business (Dollars In Billions)</t>
  </si>
  <si>
    <t>Total Revenue Of Traditional Business (Dollars In Billions)</t>
  </si>
  <si>
    <t>Service (Dollars In Billions)</t>
  </si>
  <si>
    <t>Energy (Dollars In Billions)</t>
  </si>
  <si>
    <t>Automobile (Dollars In Billions)</t>
  </si>
  <si>
    <t>Regions</t>
  </si>
  <si>
    <t>US</t>
  </si>
  <si>
    <t>CN</t>
  </si>
  <si>
    <t>EU</t>
  </si>
  <si>
    <t>AP</t>
  </si>
  <si>
    <t>ME</t>
  </si>
  <si>
    <t>Others</t>
  </si>
  <si>
    <t>Total</t>
  </si>
  <si>
    <t>Revenue By Regions</t>
  </si>
  <si>
    <t>Traditional Business</t>
  </si>
  <si>
    <t>New_Business</t>
  </si>
  <si>
    <t>Ultimate Combination</t>
  </si>
  <si>
    <t>Comprehensive</t>
  </si>
  <si>
    <t>Traditional business (Dollars In Billions)</t>
  </si>
  <si>
    <t>New business (Dollars In Billions)</t>
  </si>
  <si>
    <t>Total Revenue (Dollars In Billions)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</si>
</sst>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.000_ ;_ * \-#,##0.000_ ;_ * &quot;-&quot;??_ ;_ @_ 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43" fontId="0" fillId="0" borderId="0" xfId="1" applyFont="1"/>
    <xf numFmtId="43" fontId="0" fillId="0" borderId="0" xfId="0" applyNumberFormat="1"/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2" xfId="0" applyFont="1" applyBorder="1"/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164" fontId="1" fillId="0" borderId="2" xfId="1" applyNumberFormat="1" applyFont="1" applyBorder="1"/>
    <xf numFmtId="10" fontId="1" fillId="0" borderId="2" xfId="2" applyNumberFormat="1" applyFont="1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164" fontId="2" fillId="0" borderId="1" xfId="1" applyNumberFormat="1" applyFont="1" applyBorder="1" applyAlignment="1">
      <alignment horizontal="center" vertical="center" wrapText="1"/>
    </xf>
    <xf numFmtId="164" fontId="0" fillId="0" borderId="0" xfId="1" applyNumberFormat="1" applyFont="1"/>
    <xf numFmtId="9" fontId="0" fillId="0" borderId="4" xfId="2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165" fontId="0" fillId="0" borderId="1" xfId="0" applyNumberFormat="1" applyBorder="1" applyAlignment="1">
      <alignment vertical="center" wrapText="1"/>
    </xf>
    <xf numFmtId="10" fontId="1" fillId="0" borderId="2" xfId="0" applyNumberFormat="1" applyFont="1" applyBorder="1"/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>
      <selection activeCell="H25" sqref="H25"/>
    </sheetView>
  </sheetViews>
  <sheetFormatPr defaultRowHeight="14.25" x14ac:dyDescent="0.45"/>
  <cols>
    <col min="1" max="2" width="12.53125" customWidth="1"/>
    <col min="3" max="4" width="17.265625" customWidth="1"/>
  </cols>
  <sheetData>
    <row r="1" spans="1:5" s="7" customFormat="1" ht="35.75" customHeight="1" x14ac:dyDescent="0.45">
      <c r="A1" s="15" t="s">
        <v>31</v>
      </c>
      <c r="B1" s="15" t="s">
        <v>32</v>
      </c>
      <c r="C1" s="15" t="s">
        <v>34</v>
      </c>
      <c r="D1" s="15" t="s">
        <v>22</v>
      </c>
    </row>
    <row r="2" spans="1:5" x14ac:dyDescent="0.45">
      <c r="A2" s="10" t="s">
        <v>26</v>
      </c>
      <c r="B2" s="10" t="s">
        <v>23</v>
      </c>
      <c r="C2" s="16">
        <v>110.583</v>
      </c>
      <c r="D2" s="17">
        <v>0.41981146580383288</v>
      </c>
      <c r="E2" s="5"/>
    </row>
    <row r="3" spans="1:5" x14ac:dyDescent="0.45">
      <c r="A3" s="10" t="s">
        <v>27</v>
      </c>
      <c r="B3" s="10" t="s">
        <v>23</v>
      </c>
      <c r="C3" s="16">
        <v>69.813900000000004</v>
      </c>
      <c r="D3" s="17">
        <v>0.26503780592389614</v>
      </c>
      <c r="E3" s="5"/>
    </row>
    <row r="4" spans="1:5" x14ac:dyDescent="0.45">
      <c r="A4" s="10" t="s">
        <v>28</v>
      </c>
      <c r="B4" s="10" t="s">
        <v>23</v>
      </c>
      <c r="C4" s="16">
        <v>38.014200000000002</v>
      </c>
      <c r="D4" s="17">
        <v>0.14431510289429716</v>
      </c>
      <c r="E4" s="5"/>
    </row>
    <row r="5" spans="1:5" x14ac:dyDescent="0.45">
      <c r="A5" s="10" t="s">
        <v>0</v>
      </c>
      <c r="B5" s="10" t="s">
        <v>23</v>
      </c>
      <c r="C5" s="16">
        <v>27</v>
      </c>
      <c r="D5" s="17">
        <v>0.10250137522678429</v>
      </c>
      <c r="E5" s="5"/>
    </row>
    <row r="6" spans="1:5" x14ac:dyDescent="0.45">
      <c r="A6" s="10" t="s">
        <v>1</v>
      </c>
      <c r="B6" s="10" t="s">
        <v>23</v>
      </c>
      <c r="C6" s="16">
        <v>18</v>
      </c>
      <c r="D6" s="17">
        <v>6.8334250151189532E-2</v>
      </c>
      <c r="E6" s="5"/>
    </row>
    <row r="7" spans="1:5" x14ac:dyDescent="0.45">
      <c r="A7" s="10" t="s">
        <v>29</v>
      </c>
      <c r="B7" s="10" t="s">
        <v>23</v>
      </c>
      <c r="C7" s="16">
        <v>263.41109999999998</v>
      </c>
      <c r="D7" s="17"/>
      <c r="E7" s="5"/>
    </row>
    <row r="8" spans="1:5" x14ac:dyDescent="0.45">
      <c r="A8" s="10" t="s">
        <v>26</v>
      </c>
      <c r="B8" s="10" t="s">
        <v>25</v>
      </c>
      <c r="C8" s="16">
        <v>141.3005</v>
      </c>
      <c r="D8" s="17">
        <v>0.41981146580383288</v>
      </c>
      <c r="E8" s="5"/>
    </row>
    <row r="9" spans="1:5" x14ac:dyDescent="0.45">
      <c r="A9" s="10" t="s">
        <v>27</v>
      </c>
      <c r="B9" s="10" t="s">
        <v>25</v>
      </c>
      <c r="C9" s="16">
        <v>89.206699999999998</v>
      </c>
      <c r="D9" s="17">
        <v>0.26503780592389614</v>
      </c>
      <c r="E9" s="5"/>
    </row>
    <row r="10" spans="1:5" x14ac:dyDescent="0.45">
      <c r="A10" s="10" t="s">
        <v>28</v>
      </c>
      <c r="B10" s="10" t="s">
        <v>25</v>
      </c>
      <c r="C10" s="16">
        <v>48.573700000000002</v>
      </c>
      <c r="D10" s="17">
        <v>0.14431510289429716</v>
      </c>
      <c r="E10" s="5"/>
    </row>
    <row r="11" spans="1:5" x14ac:dyDescent="0.45">
      <c r="A11" s="10" t="s">
        <v>0</v>
      </c>
      <c r="B11" s="10" t="s">
        <v>25</v>
      </c>
      <c r="C11" s="16">
        <v>34.5</v>
      </c>
      <c r="D11" s="17">
        <v>0.10250137522678429</v>
      </c>
      <c r="E11" s="5"/>
    </row>
    <row r="12" spans="1:5" x14ac:dyDescent="0.45">
      <c r="A12" s="10" t="s">
        <v>1</v>
      </c>
      <c r="B12" s="10" t="s">
        <v>25</v>
      </c>
      <c r="C12" s="16">
        <v>23</v>
      </c>
      <c r="D12" s="17">
        <v>6.8334250151189532E-2</v>
      </c>
      <c r="E12" s="5"/>
    </row>
    <row r="13" spans="1:5" x14ac:dyDescent="0.45">
      <c r="A13" s="10" t="s">
        <v>29</v>
      </c>
      <c r="B13" s="10" t="s">
        <v>25</v>
      </c>
      <c r="C13" s="16">
        <v>336.58090000000004</v>
      </c>
      <c r="D13" s="17"/>
      <c r="E13" s="5"/>
    </row>
    <row r="14" spans="1:5" x14ac:dyDescent="0.45">
      <c r="A14" s="10" t="s">
        <v>26</v>
      </c>
      <c r="B14" s="10" t="s">
        <v>24</v>
      </c>
      <c r="C14" s="16">
        <v>122.87</v>
      </c>
      <c r="D14" s="17">
        <v>0.42</v>
      </c>
      <c r="E14" s="5"/>
    </row>
    <row r="15" spans="1:5" x14ac:dyDescent="0.45">
      <c r="A15" s="10" t="s">
        <v>27</v>
      </c>
      <c r="B15" s="10" t="s">
        <v>24</v>
      </c>
      <c r="C15" s="16">
        <v>77.570999999999998</v>
      </c>
      <c r="D15" s="17">
        <v>0.26500000000000001</v>
      </c>
      <c r="E15" s="5"/>
    </row>
    <row r="16" spans="1:5" x14ac:dyDescent="0.45">
      <c r="A16" s="10" t="s">
        <v>28</v>
      </c>
      <c r="B16" s="10" t="s">
        <v>24</v>
      </c>
      <c r="C16" s="16">
        <v>42.238</v>
      </c>
      <c r="D16" s="17">
        <v>0.14399999999999999</v>
      </c>
      <c r="E16" s="5"/>
    </row>
    <row r="17" spans="1:5" x14ac:dyDescent="0.45">
      <c r="A17" s="10" t="s">
        <v>0</v>
      </c>
      <c r="B17" s="10" t="s">
        <v>24</v>
      </c>
      <c r="C17" s="16">
        <v>30</v>
      </c>
      <c r="D17" s="17">
        <v>0.10299999999999999</v>
      </c>
      <c r="E17" s="5"/>
    </row>
    <row r="18" spans="1:5" x14ac:dyDescent="0.45">
      <c r="A18" s="10" t="s">
        <v>1</v>
      </c>
      <c r="B18" s="10" t="s">
        <v>24</v>
      </c>
      <c r="C18" s="16">
        <v>20</v>
      </c>
      <c r="D18" s="17">
        <v>6.8000000000000005E-2</v>
      </c>
      <c r="E18" s="5"/>
    </row>
    <row r="19" spans="1:5" x14ac:dyDescent="0.45">
      <c r="A19" s="10" t="s">
        <v>29</v>
      </c>
      <c r="B19" s="10" t="s">
        <v>24</v>
      </c>
      <c r="C19" s="16">
        <v>292.67899999999997</v>
      </c>
      <c r="D19" s="17"/>
      <c r="E1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472F9-44E3-4646-9688-DAE54760A371}">
  <dimension ref="A1:E28"/>
  <sheetViews>
    <sheetView workbookViewId="0">
      <selection activeCell="C15" sqref="C15"/>
    </sheetView>
  </sheetViews>
  <sheetFormatPr defaultRowHeight="14.25" x14ac:dyDescent="0.45"/>
  <cols>
    <col min="2" max="4" width="18.46484375" customWidth="1"/>
    <col min="5" max="5" width="16.796875" customWidth="1"/>
  </cols>
  <sheetData>
    <row r="1" spans="1:5" ht="42.75" x14ac:dyDescent="0.45">
      <c r="A1" s="1" t="s">
        <v>33</v>
      </c>
      <c r="B1" s="9" t="s">
        <v>32</v>
      </c>
      <c r="C1" s="9" t="s">
        <v>35</v>
      </c>
      <c r="D1" s="1" t="s">
        <v>36</v>
      </c>
      <c r="E1" s="1" t="s">
        <v>37</v>
      </c>
    </row>
    <row r="2" spans="1:5" x14ac:dyDescent="0.45">
      <c r="A2" s="12">
        <v>2022</v>
      </c>
      <c r="B2" s="10" t="s">
        <v>24</v>
      </c>
      <c r="C2" s="11">
        <v>0</v>
      </c>
      <c r="D2" s="8">
        <v>0</v>
      </c>
      <c r="E2" s="2">
        <v>0</v>
      </c>
    </row>
    <row r="3" spans="1:5" x14ac:dyDescent="0.45">
      <c r="A3" s="12">
        <v>2023</v>
      </c>
      <c r="B3" s="10" t="s">
        <v>24</v>
      </c>
      <c r="C3" s="11">
        <v>0</v>
      </c>
      <c r="D3" s="8">
        <v>0</v>
      </c>
      <c r="E3" s="2">
        <v>0</v>
      </c>
    </row>
    <row r="4" spans="1:5" x14ac:dyDescent="0.45">
      <c r="A4" s="12">
        <v>2024</v>
      </c>
      <c r="B4" s="10" t="s">
        <v>24</v>
      </c>
      <c r="C4" s="11">
        <v>0</v>
      </c>
      <c r="D4" s="8">
        <v>0</v>
      </c>
      <c r="E4" s="2">
        <v>0</v>
      </c>
    </row>
    <row r="5" spans="1:5" x14ac:dyDescent="0.45">
      <c r="A5" s="12">
        <v>2025</v>
      </c>
      <c r="B5" s="10" t="s">
        <v>24</v>
      </c>
      <c r="C5" s="11">
        <v>0</v>
      </c>
      <c r="D5" s="8">
        <v>0</v>
      </c>
      <c r="E5" s="2">
        <v>0</v>
      </c>
    </row>
    <row r="6" spans="1:5" x14ac:dyDescent="0.45">
      <c r="A6" s="12">
        <v>2026</v>
      </c>
      <c r="B6" s="10" t="s">
        <v>24</v>
      </c>
      <c r="C6" s="11">
        <v>0.3</v>
      </c>
      <c r="D6" s="8">
        <v>0</v>
      </c>
      <c r="E6" s="2">
        <f>C6+D6</f>
        <v>0.3</v>
      </c>
    </row>
    <row r="7" spans="1:5" x14ac:dyDescent="0.45">
      <c r="A7" s="12">
        <v>2027</v>
      </c>
      <c r="B7" s="10" t="s">
        <v>24</v>
      </c>
      <c r="C7" s="11">
        <v>2</v>
      </c>
      <c r="D7" s="8">
        <v>0.5</v>
      </c>
      <c r="E7" s="2">
        <f t="shared" ref="E7:E28" si="0">C7+D7</f>
        <v>2.5</v>
      </c>
    </row>
    <row r="8" spans="1:5" x14ac:dyDescent="0.45">
      <c r="A8" s="12">
        <v>2028</v>
      </c>
      <c r="B8" s="10" t="s">
        <v>24</v>
      </c>
      <c r="C8" s="11">
        <v>9</v>
      </c>
      <c r="D8" s="8">
        <v>8</v>
      </c>
      <c r="E8" s="2">
        <f t="shared" si="0"/>
        <v>17</v>
      </c>
    </row>
    <row r="9" spans="1:5" x14ac:dyDescent="0.45">
      <c r="A9" s="12">
        <v>2029</v>
      </c>
      <c r="B9" s="10" t="s">
        <v>24</v>
      </c>
      <c r="C9" s="11">
        <v>20</v>
      </c>
      <c r="D9" s="8">
        <v>13</v>
      </c>
      <c r="E9" s="2">
        <f t="shared" si="0"/>
        <v>33</v>
      </c>
    </row>
    <row r="10" spans="1:5" x14ac:dyDescent="0.45">
      <c r="A10" s="12">
        <v>2030</v>
      </c>
      <c r="B10" s="10" t="s">
        <v>24</v>
      </c>
      <c r="C10" s="11">
        <v>30</v>
      </c>
      <c r="D10" s="8">
        <v>20</v>
      </c>
      <c r="E10" s="2">
        <f t="shared" si="0"/>
        <v>50</v>
      </c>
    </row>
    <row r="11" spans="1:5" x14ac:dyDescent="0.45">
      <c r="A11" s="12">
        <v>2022</v>
      </c>
      <c r="B11" s="10" t="s">
        <v>25</v>
      </c>
      <c r="C11" s="11">
        <v>0</v>
      </c>
      <c r="D11" s="8">
        <v>0</v>
      </c>
      <c r="E11" s="2">
        <f t="shared" si="0"/>
        <v>0</v>
      </c>
    </row>
    <row r="12" spans="1:5" x14ac:dyDescent="0.45">
      <c r="A12" s="12">
        <v>2023</v>
      </c>
      <c r="B12" s="10" t="s">
        <v>25</v>
      </c>
      <c r="C12" s="11">
        <v>0</v>
      </c>
      <c r="D12" s="8">
        <v>0</v>
      </c>
      <c r="E12" s="2">
        <f t="shared" si="0"/>
        <v>0</v>
      </c>
    </row>
    <row r="13" spans="1:5" x14ac:dyDescent="0.45">
      <c r="A13" s="12">
        <v>2024</v>
      </c>
      <c r="B13" s="10" t="s">
        <v>25</v>
      </c>
      <c r="C13" s="11">
        <v>0</v>
      </c>
      <c r="D13" s="8">
        <v>0</v>
      </c>
      <c r="E13" s="2">
        <f t="shared" si="0"/>
        <v>0</v>
      </c>
    </row>
    <row r="14" spans="1:5" x14ac:dyDescent="0.45">
      <c r="A14" s="12">
        <v>2025</v>
      </c>
      <c r="B14" s="10" t="s">
        <v>25</v>
      </c>
      <c r="C14" s="11">
        <v>0</v>
      </c>
      <c r="D14" s="8">
        <v>0</v>
      </c>
      <c r="E14" s="2">
        <f t="shared" si="0"/>
        <v>0</v>
      </c>
    </row>
    <row r="15" spans="1:5" x14ac:dyDescent="0.45">
      <c r="A15" s="12">
        <v>2026</v>
      </c>
      <c r="B15" s="10" t="s">
        <v>25</v>
      </c>
      <c r="C15" s="11">
        <v>0.34500000000000003</v>
      </c>
      <c r="D15" s="8">
        <v>0</v>
      </c>
      <c r="E15" s="2">
        <f t="shared" si="0"/>
        <v>0.34500000000000003</v>
      </c>
    </row>
    <row r="16" spans="1:5" x14ac:dyDescent="0.45">
      <c r="A16" s="12">
        <v>2027</v>
      </c>
      <c r="B16" s="10" t="s">
        <v>25</v>
      </c>
      <c r="C16" s="11">
        <v>2.2999999999999998</v>
      </c>
      <c r="D16" s="8">
        <v>0.57499999999999996</v>
      </c>
      <c r="E16" s="2">
        <f t="shared" si="0"/>
        <v>2.875</v>
      </c>
    </row>
    <row r="17" spans="1:5" x14ac:dyDescent="0.45">
      <c r="A17" s="12">
        <v>2028</v>
      </c>
      <c r="B17" s="10" t="s">
        <v>25</v>
      </c>
      <c r="C17" s="11">
        <v>10.35</v>
      </c>
      <c r="D17" s="8">
        <v>9.1999999999999993</v>
      </c>
      <c r="E17" s="2">
        <f t="shared" si="0"/>
        <v>19.549999999999997</v>
      </c>
    </row>
    <row r="18" spans="1:5" x14ac:dyDescent="0.45">
      <c r="A18" s="12">
        <v>2029</v>
      </c>
      <c r="B18" s="10" t="s">
        <v>25</v>
      </c>
      <c r="C18" s="11">
        <v>23</v>
      </c>
      <c r="D18" s="8">
        <v>14.95</v>
      </c>
      <c r="E18" s="2">
        <f t="shared" si="0"/>
        <v>37.950000000000003</v>
      </c>
    </row>
    <row r="19" spans="1:5" x14ac:dyDescent="0.45">
      <c r="A19" s="12">
        <v>2030</v>
      </c>
      <c r="B19" s="10" t="s">
        <v>25</v>
      </c>
      <c r="C19" s="11">
        <v>34.5</v>
      </c>
      <c r="D19" s="8">
        <v>23</v>
      </c>
      <c r="E19" s="2">
        <f t="shared" si="0"/>
        <v>57.5</v>
      </c>
    </row>
    <row r="20" spans="1:5" x14ac:dyDescent="0.45">
      <c r="A20" s="12" t="s">
        <v>2</v>
      </c>
      <c r="B20" s="10" t="s">
        <v>23</v>
      </c>
      <c r="C20" s="11">
        <v>0</v>
      </c>
      <c r="D20" s="8">
        <v>0</v>
      </c>
      <c r="E20" s="2">
        <f t="shared" si="0"/>
        <v>0</v>
      </c>
    </row>
    <row r="21" spans="1:5" x14ac:dyDescent="0.45">
      <c r="A21" s="12" t="s">
        <v>4</v>
      </c>
      <c r="B21" s="10" t="s">
        <v>23</v>
      </c>
      <c r="C21" s="11">
        <v>0</v>
      </c>
      <c r="D21" s="8">
        <v>0</v>
      </c>
      <c r="E21" s="2">
        <f t="shared" si="0"/>
        <v>0</v>
      </c>
    </row>
    <row r="22" spans="1:5" x14ac:dyDescent="0.45">
      <c r="A22" s="12" t="s">
        <v>5</v>
      </c>
      <c r="B22" s="10" t="s">
        <v>23</v>
      </c>
      <c r="C22" s="11">
        <v>0</v>
      </c>
      <c r="D22" s="8">
        <v>0</v>
      </c>
      <c r="E22" s="2">
        <f t="shared" si="0"/>
        <v>0</v>
      </c>
    </row>
    <row r="23" spans="1:5" x14ac:dyDescent="0.45">
      <c r="A23" s="12" t="s">
        <v>6</v>
      </c>
      <c r="B23" s="10" t="s">
        <v>23</v>
      </c>
      <c r="C23" s="11">
        <v>0</v>
      </c>
      <c r="D23" s="8">
        <v>0</v>
      </c>
      <c r="E23" s="2">
        <f t="shared" si="0"/>
        <v>0</v>
      </c>
    </row>
    <row r="24" spans="1:5" x14ac:dyDescent="0.45">
      <c r="A24" s="12" t="s">
        <v>7</v>
      </c>
      <c r="B24" s="10" t="s">
        <v>23</v>
      </c>
      <c r="C24" s="11">
        <v>0.27</v>
      </c>
      <c r="D24" s="8">
        <v>0</v>
      </c>
      <c r="E24" s="2">
        <f t="shared" si="0"/>
        <v>0.27</v>
      </c>
    </row>
    <row r="25" spans="1:5" x14ac:dyDescent="0.45">
      <c r="A25" s="12" t="s">
        <v>8</v>
      </c>
      <c r="B25" s="10" t="s">
        <v>23</v>
      </c>
      <c r="C25" s="11">
        <v>1.8</v>
      </c>
      <c r="D25" s="8">
        <v>0.45</v>
      </c>
      <c r="E25" s="2">
        <f t="shared" si="0"/>
        <v>2.25</v>
      </c>
    </row>
    <row r="26" spans="1:5" x14ac:dyDescent="0.45">
      <c r="A26" s="12" t="s">
        <v>9</v>
      </c>
      <c r="B26" s="10" t="s">
        <v>23</v>
      </c>
      <c r="C26" s="11">
        <v>8.1</v>
      </c>
      <c r="D26" s="8">
        <v>7.2</v>
      </c>
      <c r="E26" s="2">
        <f t="shared" si="0"/>
        <v>15.3</v>
      </c>
    </row>
    <row r="27" spans="1:5" x14ac:dyDescent="0.45">
      <c r="A27" s="12" t="s">
        <v>10</v>
      </c>
      <c r="B27" s="10" t="s">
        <v>23</v>
      </c>
      <c r="C27" s="11">
        <v>18</v>
      </c>
      <c r="D27" s="8">
        <v>11.7</v>
      </c>
      <c r="E27" s="2">
        <f t="shared" si="0"/>
        <v>29.7</v>
      </c>
    </row>
    <row r="28" spans="1:5" x14ac:dyDescent="0.45">
      <c r="A28" s="12" t="s">
        <v>11</v>
      </c>
      <c r="B28" s="10" t="s">
        <v>23</v>
      </c>
      <c r="C28" s="11">
        <v>27</v>
      </c>
      <c r="D28" s="8">
        <v>18</v>
      </c>
      <c r="E28" s="2">
        <f t="shared" si="0"/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A6313-443C-4907-BE89-2657B126D326}">
  <dimension ref="A1:F28"/>
  <sheetViews>
    <sheetView workbookViewId="0">
      <selection activeCell="D17" sqref="D17"/>
    </sheetView>
  </sheetViews>
  <sheetFormatPr defaultRowHeight="14.25" x14ac:dyDescent="0.45"/>
  <cols>
    <col min="2" max="6" width="20.73046875" customWidth="1"/>
  </cols>
  <sheetData>
    <row r="1" spans="1:6" ht="42.75" x14ac:dyDescent="0.45">
      <c r="A1" s="1" t="s">
        <v>33</v>
      </c>
      <c r="B1" s="9" t="s">
        <v>32</v>
      </c>
      <c r="C1" s="1" t="s">
        <v>41</v>
      </c>
      <c r="D1" s="1" t="s">
        <v>40</v>
      </c>
      <c r="E1" s="1" t="s">
        <v>39</v>
      </c>
      <c r="F1" s="1" t="s">
        <v>38</v>
      </c>
    </row>
    <row r="2" spans="1:6" x14ac:dyDescent="0.45">
      <c r="A2" s="13">
        <v>2022</v>
      </c>
      <c r="B2" s="10" t="s">
        <v>24</v>
      </c>
      <c r="C2" s="14">
        <v>71.462000000000003</v>
      </c>
      <c r="D2" s="14">
        <v>3.9090000000000003</v>
      </c>
      <c r="E2" s="14">
        <v>6.0909999999999993</v>
      </c>
      <c r="F2" s="14">
        <f>SUM(C2:E2)</f>
        <v>81.462000000000003</v>
      </c>
    </row>
    <row r="3" spans="1:6" x14ac:dyDescent="0.45">
      <c r="A3" s="13">
        <v>2023</v>
      </c>
      <c r="B3" s="10" t="s">
        <v>24</v>
      </c>
      <c r="C3" s="14">
        <v>82.419000000000011</v>
      </c>
      <c r="D3" s="14">
        <v>6.0350000000000001</v>
      </c>
      <c r="E3" s="14">
        <v>8.3189999999999991</v>
      </c>
      <c r="F3" s="14">
        <f t="shared" ref="F3:F28" si="0">SUM(C3:E3)</f>
        <v>96.77300000000001</v>
      </c>
    </row>
    <row r="4" spans="1:6" x14ac:dyDescent="0.45">
      <c r="A4" s="13">
        <v>2024</v>
      </c>
      <c r="B4" s="10" t="s">
        <v>24</v>
      </c>
      <c r="C4" s="14">
        <v>77.070000000000007</v>
      </c>
      <c r="D4" s="14">
        <v>10.086</v>
      </c>
      <c r="E4" s="14">
        <v>10.534000000000001</v>
      </c>
      <c r="F4" s="14">
        <f t="shared" si="0"/>
        <v>97.690000000000012</v>
      </c>
    </row>
    <row r="5" spans="1:6" x14ac:dyDescent="0.45">
      <c r="A5" s="13">
        <v>2025</v>
      </c>
      <c r="B5" s="10" t="s">
        <v>24</v>
      </c>
      <c r="C5" s="14">
        <v>80.001999999999995</v>
      </c>
      <c r="D5" s="14">
        <v>14.422999999999998</v>
      </c>
      <c r="E5" s="14">
        <v>13.3</v>
      </c>
      <c r="F5" s="14">
        <f t="shared" si="0"/>
        <v>107.72499999999999</v>
      </c>
    </row>
    <row r="6" spans="1:6" x14ac:dyDescent="0.45">
      <c r="A6" s="13">
        <v>2026</v>
      </c>
      <c r="B6" s="10" t="s">
        <v>24</v>
      </c>
      <c r="C6" s="14">
        <v>86.102999999999994</v>
      </c>
      <c r="D6" s="14">
        <v>20.192</v>
      </c>
      <c r="E6" s="14">
        <v>16.758000000000003</v>
      </c>
      <c r="F6" s="14">
        <f t="shared" si="0"/>
        <v>123.053</v>
      </c>
    </row>
    <row r="7" spans="1:6" x14ac:dyDescent="0.45">
      <c r="A7" s="13">
        <v>2027</v>
      </c>
      <c r="B7" s="10" t="s">
        <v>24</v>
      </c>
      <c r="C7" s="14">
        <v>94.162000000000006</v>
      </c>
      <c r="D7" s="14">
        <v>28.268999999999998</v>
      </c>
      <c r="E7" s="14">
        <v>21.115000000000002</v>
      </c>
      <c r="F7" s="14">
        <f t="shared" si="0"/>
        <v>143.54600000000002</v>
      </c>
    </row>
    <row r="8" spans="1:6" x14ac:dyDescent="0.45">
      <c r="A8" s="13">
        <v>2028</v>
      </c>
      <c r="B8" s="10" t="s">
        <v>24</v>
      </c>
      <c r="C8" s="14">
        <v>102.94300000000001</v>
      </c>
      <c r="D8" s="14">
        <v>39.576999999999998</v>
      </c>
      <c r="E8" s="14">
        <v>26.605</v>
      </c>
      <c r="F8" s="14">
        <f t="shared" si="0"/>
        <v>169.125</v>
      </c>
    </row>
    <row r="9" spans="1:6" x14ac:dyDescent="0.45">
      <c r="A9" s="13">
        <v>2029</v>
      </c>
      <c r="B9" s="10" t="s">
        <v>24</v>
      </c>
      <c r="C9" s="14">
        <v>112.495</v>
      </c>
      <c r="D9" s="14">
        <v>55.408000000000001</v>
      </c>
      <c r="E9" s="14">
        <v>33.522000000000006</v>
      </c>
      <c r="F9" s="14">
        <f t="shared" si="0"/>
        <v>201.42500000000001</v>
      </c>
    </row>
    <row r="10" spans="1:6" x14ac:dyDescent="0.45">
      <c r="A10" s="13">
        <v>2030</v>
      </c>
      <c r="B10" s="10" t="s">
        <v>24</v>
      </c>
      <c r="C10" s="14">
        <v>122.87</v>
      </c>
      <c r="D10" s="14">
        <v>77.570999999999998</v>
      </c>
      <c r="E10" s="14">
        <v>42.238</v>
      </c>
      <c r="F10" s="14">
        <f t="shared" si="0"/>
        <v>242.679</v>
      </c>
    </row>
    <row r="11" spans="1:6" x14ac:dyDescent="0.45">
      <c r="A11" s="13">
        <v>2022</v>
      </c>
      <c r="B11" s="10" t="s">
        <v>25</v>
      </c>
      <c r="C11" s="14">
        <v>71.462000000000003</v>
      </c>
      <c r="D11" s="14">
        <v>3.9090000000000003</v>
      </c>
      <c r="E11" s="14">
        <v>6.0909999999999993</v>
      </c>
      <c r="F11" s="14">
        <f t="shared" si="0"/>
        <v>81.462000000000003</v>
      </c>
    </row>
    <row r="12" spans="1:6" x14ac:dyDescent="0.45">
      <c r="A12" s="13">
        <v>2023</v>
      </c>
      <c r="B12" s="10" t="s">
        <v>25</v>
      </c>
      <c r="C12" s="14">
        <v>82.419000000000011</v>
      </c>
      <c r="D12" s="14">
        <v>6.0350000000000001</v>
      </c>
      <c r="E12" s="14">
        <v>8.3189999999999991</v>
      </c>
      <c r="F12" s="14">
        <f t="shared" si="0"/>
        <v>96.77300000000001</v>
      </c>
    </row>
    <row r="13" spans="1:6" x14ac:dyDescent="0.45">
      <c r="A13" s="13">
        <v>2024</v>
      </c>
      <c r="B13" s="10" t="s">
        <v>25</v>
      </c>
      <c r="C13" s="14">
        <v>77.070000000000007</v>
      </c>
      <c r="D13" s="14">
        <v>10.086</v>
      </c>
      <c r="E13" s="14">
        <v>10.534000000000001</v>
      </c>
      <c r="F13" s="14">
        <f t="shared" si="0"/>
        <v>97.690000000000012</v>
      </c>
    </row>
    <row r="14" spans="1:6" x14ac:dyDescent="0.45">
      <c r="A14" s="13">
        <v>2025</v>
      </c>
      <c r="B14" s="10" t="s">
        <v>25</v>
      </c>
      <c r="C14" s="14">
        <v>92.002300000000005</v>
      </c>
      <c r="D14" s="14">
        <v>16.586449999999999</v>
      </c>
      <c r="E14" s="14">
        <v>15.294999999999998</v>
      </c>
      <c r="F14" s="14">
        <f t="shared" si="0"/>
        <v>123.88375000000001</v>
      </c>
    </row>
    <row r="15" spans="1:6" x14ac:dyDescent="0.45">
      <c r="A15" s="13">
        <v>2026</v>
      </c>
      <c r="B15" s="10" t="s">
        <v>25</v>
      </c>
      <c r="C15" s="14">
        <v>99.018450000000001</v>
      </c>
      <c r="D15" s="14">
        <v>23.220800000000001</v>
      </c>
      <c r="E15" s="14">
        <v>19.271700000000003</v>
      </c>
      <c r="F15" s="14">
        <f t="shared" si="0"/>
        <v>141.51095000000001</v>
      </c>
    </row>
    <row r="16" spans="1:6" x14ac:dyDescent="0.45">
      <c r="A16" s="13">
        <v>2027</v>
      </c>
      <c r="B16" s="10" t="s">
        <v>25</v>
      </c>
      <c r="C16" s="14">
        <v>108.28630000000001</v>
      </c>
      <c r="D16" s="14">
        <v>32.509349999999998</v>
      </c>
      <c r="E16" s="14">
        <v>24.282249999999998</v>
      </c>
      <c r="F16" s="14">
        <f t="shared" si="0"/>
        <v>165.07790000000003</v>
      </c>
    </row>
    <row r="17" spans="1:6" x14ac:dyDescent="0.45">
      <c r="A17" s="13">
        <v>2028</v>
      </c>
      <c r="B17" s="10" t="s">
        <v>25</v>
      </c>
      <c r="C17" s="14">
        <v>118.38444999999999</v>
      </c>
      <c r="D17" s="14">
        <v>45.513549999999995</v>
      </c>
      <c r="E17" s="14">
        <v>30.595749999999999</v>
      </c>
      <c r="F17" s="14">
        <f t="shared" si="0"/>
        <v>194.49374999999998</v>
      </c>
    </row>
    <row r="18" spans="1:6" x14ac:dyDescent="0.45">
      <c r="A18" s="13">
        <v>2029</v>
      </c>
      <c r="B18" s="10" t="s">
        <v>25</v>
      </c>
      <c r="C18" s="14">
        <v>129.36925000000002</v>
      </c>
      <c r="D18" s="14">
        <v>63.719200000000001</v>
      </c>
      <c r="E18" s="14">
        <v>38.5503</v>
      </c>
      <c r="F18" s="14">
        <f t="shared" si="0"/>
        <v>231.63875000000002</v>
      </c>
    </row>
    <row r="19" spans="1:6" x14ac:dyDescent="0.45">
      <c r="A19" s="13">
        <v>2030</v>
      </c>
      <c r="B19" s="10" t="s">
        <v>25</v>
      </c>
      <c r="C19" s="14">
        <v>141.3005</v>
      </c>
      <c r="D19" s="14">
        <v>89.206649999999996</v>
      </c>
      <c r="E19" s="14">
        <v>48.573700000000002</v>
      </c>
      <c r="F19" s="14">
        <f t="shared" si="0"/>
        <v>279.08085</v>
      </c>
    </row>
    <row r="20" spans="1:6" x14ac:dyDescent="0.45">
      <c r="A20" s="13" t="s">
        <v>2</v>
      </c>
      <c r="B20" s="10" t="s">
        <v>23</v>
      </c>
      <c r="C20" s="14">
        <v>71.462000000000003</v>
      </c>
      <c r="D20" s="14">
        <v>3.9090000000000003</v>
      </c>
      <c r="E20" s="14">
        <v>6.0909999999999993</v>
      </c>
      <c r="F20" s="14">
        <f t="shared" si="0"/>
        <v>81.462000000000003</v>
      </c>
    </row>
    <row r="21" spans="1:6" x14ac:dyDescent="0.45">
      <c r="A21" s="13" t="s">
        <v>4</v>
      </c>
      <c r="B21" s="10" t="s">
        <v>23</v>
      </c>
      <c r="C21" s="14">
        <v>82.419000000000011</v>
      </c>
      <c r="D21" s="14">
        <v>6.0350000000000001</v>
      </c>
      <c r="E21" s="14">
        <v>8.3189999999999991</v>
      </c>
      <c r="F21" s="14">
        <f t="shared" si="0"/>
        <v>96.77300000000001</v>
      </c>
    </row>
    <row r="22" spans="1:6" x14ac:dyDescent="0.45">
      <c r="A22" s="13" t="s">
        <v>5</v>
      </c>
      <c r="B22" s="10" t="s">
        <v>23</v>
      </c>
      <c r="C22" s="14">
        <v>77.070000000000007</v>
      </c>
      <c r="D22" s="14">
        <v>10.086</v>
      </c>
      <c r="E22" s="14">
        <v>10.534000000000001</v>
      </c>
      <c r="F22" s="14">
        <f t="shared" si="0"/>
        <v>97.690000000000012</v>
      </c>
    </row>
    <row r="23" spans="1:6" x14ac:dyDescent="0.45">
      <c r="A23" s="13" t="s">
        <v>6</v>
      </c>
      <c r="B23" s="10" t="s">
        <v>23</v>
      </c>
      <c r="C23" s="14">
        <v>72.001800000000003</v>
      </c>
      <c r="D23" s="14">
        <v>12.980699999999999</v>
      </c>
      <c r="E23" s="14">
        <v>11.97</v>
      </c>
      <c r="F23" s="14">
        <f t="shared" si="0"/>
        <v>96.952500000000001</v>
      </c>
    </row>
    <row r="24" spans="1:6" x14ac:dyDescent="0.45">
      <c r="A24" s="13" t="s">
        <v>7</v>
      </c>
      <c r="B24" s="10" t="s">
        <v>23</v>
      </c>
      <c r="C24" s="14">
        <v>77.492699999999999</v>
      </c>
      <c r="D24" s="14">
        <v>18.172800000000002</v>
      </c>
      <c r="E24" s="14">
        <v>15.0822</v>
      </c>
      <c r="F24" s="14">
        <f t="shared" si="0"/>
        <v>110.74770000000001</v>
      </c>
    </row>
    <row r="25" spans="1:6" x14ac:dyDescent="0.45">
      <c r="A25" s="13" t="s">
        <v>8</v>
      </c>
      <c r="B25" s="10" t="s">
        <v>23</v>
      </c>
      <c r="C25" s="14">
        <v>84.745800000000003</v>
      </c>
      <c r="D25" s="14">
        <v>25.4421</v>
      </c>
      <c r="E25" s="14">
        <v>19.003499999999999</v>
      </c>
      <c r="F25" s="14">
        <f t="shared" si="0"/>
        <v>129.19139999999999</v>
      </c>
    </row>
    <row r="26" spans="1:6" x14ac:dyDescent="0.45">
      <c r="A26" s="13" t="s">
        <v>9</v>
      </c>
      <c r="B26" s="10" t="s">
        <v>23</v>
      </c>
      <c r="C26" s="14">
        <v>92.648700000000005</v>
      </c>
      <c r="D26" s="14">
        <v>35.619299999999996</v>
      </c>
      <c r="E26" s="14">
        <v>23.944499999999998</v>
      </c>
      <c r="F26" s="14">
        <f t="shared" si="0"/>
        <v>152.21250000000001</v>
      </c>
    </row>
    <row r="27" spans="1:6" x14ac:dyDescent="0.45">
      <c r="A27" s="13" t="s">
        <v>10</v>
      </c>
      <c r="B27" s="10" t="s">
        <v>23</v>
      </c>
      <c r="C27" s="14">
        <v>101.24550000000001</v>
      </c>
      <c r="D27" s="14">
        <v>49.867200000000004</v>
      </c>
      <c r="E27" s="14">
        <v>30.169799999999999</v>
      </c>
      <c r="F27" s="14">
        <f t="shared" si="0"/>
        <v>181.28250000000003</v>
      </c>
    </row>
    <row r="28" spans="1:6" x14ac:dyDescent="0.45">
      <c r="A28" s="13" t="s">
        <v>11</v>
      </c>
      <c r="B28" s="10" t="s">
        <v>23</v>
      </c>
      <c r="C28" s="14">
        <v>110.583</v>
      </c>
      <c r="D28" s="14">
        <v>69.813900000000004</v>
      </c>
      <c r="E28" s="14">
        <v>38.014200000000002</v>
      </c>
      <c r="F28" s="14">
        <f t="shared" si="0"/>
        <v>218.41110000000003</v>
      </c>
    </row>
  </sheetData>
  <autoFilter ref="A1:F1" xr:uid="{268A6313-443C-4907-BE89-2657B126D32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B7E88-3108-42CC-B320-CF1832D9B49A}">
  <dimension ref="A1:G190"/>
  <sheetViews>
    <sheetView topLeftCell="A25" workbookViewId="0">
      <selection activeCell="D58" sqref="D58"/>
    </sheetView>
  </sheetViews>
  <sheetFormatPr defaultRowHeight="14.25" x14ac:dyDescent="0.45"/>
  <cols>
    <col min="1" max="1" width="9.06640625" style="18"/>
    <col min="2" max="2" width="12.06640625" bestFit="1" customWidth="1"/>
    <col min="3" max="3" width="11.53125" bestFit="1" customWidth="1"/>
    <col min="4" max="4" width="16.19921875" style="21" customWidth="1"/>
  </cols>
  <sheetData>
    <row r="1" spans="1:4" s="19" customFormat="1" ht="28.5" x14ac:dyDescent="0.45">
      <c r="A1" s="6" t="s">
        <v>33</v>
      </c>
      <c r="B1" s="6" t="s">
        <v>32</v>
      </c>
      <c r="C1" s="1" t="s">
        <v>42</v>
      </c>
      <c r="D1" s="20" t="s">
        <v>34</v>
      </c>
    </row>
    <row r="2" spans="1:4" x14ac:dyDescent="0.45">
      <c r="A2" s="13">
        <v>2022</v>
      </c>
      <c r="B2" s="10" t="s">
        <v>24</v>
      </c>
      <c r="C2" s="2" t="s">
        <v>43</v>
      </c>
      <c r="D2" s="14">
        <v>40.552999999999997</v>
      </c>
    </row>
    <row r="3" spans="1:4" x14ac:dyDescent="0.45">
      <c r="A3" s="13">
        <v>2023</v>
      </c>
      <c r="B3" s="10" t="s">
        <v>24</v>
      </c>
      <c r="C3" s="2" t="s">
        <v>43</v>
      </c>
      <c r="D3" s="14">
        <v>45.28</v>
      </c>
    </row>
    <row r="4" spans="1:4" x14ac:dyDescent="0.45">
      <c r="A4" s="13">
        <v>2024</v>
      </c>
      <c r="B4" s="10" t="s">
        <v>24</v>
      </c>
      <c r="C4" s="2" t="s">
        <v>43</v>
      </c>
      <c r="D4" s="14">
        <v>43.8</v>
      </c>
    </row>
    <row r="5" spans="1:4" x14ac:dyDescent="0.45">
      <c r="A5" s="13">
        <v>2025</v>
      </c>
      <c r="B5" s="10" t="s">
        <v>24</v>
      </c>
      <c r="C5" s="2" t="s">
        <v>43</v>
      </c>
      <c r="D5" s="14">
        <v>48.604640000000018</v>
      </c>
    </row>
    <row r="6" spans="1:4" x14ac:dyDescent="0.45">
      <c r="A6" s="13">
        <v>2026</v>
      </c>
      <c r="B6" s="10" t="s">
        <v>24</v>
      </c>
      <c r="C6" s="2" t="s">
        <v>43</v>
      </c>
      <c r="D6" s="14">
        <v>58.407848960000003</v>
      </c>
    </row>
    <row r="7" spans="1:4" x14ac:dyDescent="0.45">
      <c r="A7" s="13">
        <v>2027</v>
      </c>
      <c r="B7" s="10" t="s">
        <v>24</v>
      </c>
      <c r="C7" s="2" t="s">
        <v>43</v>
      </c>
      <c r="D7" s="14">
        <v>74.57697529344</v>
      </c>
    </row>
    <row r="8" spans="1:4" x14ac:dyDescent="0.45">
      <c r="A8" s="13">
        <v>2028</v>
      </c>
      <c r="B8" s="10" t="s">
        <v>24</v>
      </c>
      <c r="C8" s="2" t="s">
        <v>43</v>
      </c>
      <c r="D8" s="14">
        <v>107.33419771222016</v>
      </c>
    </row>
    <row r="9" spans="1:4" x14ac:dyDescent="0.45">
      <c r="A9" s="13">
        <v>2029</v>
      </c>
      <c r="B9" s="10" t="s">
        <v>24</v>
      </c>
      <c r="C9" s="2" t="s">
        <v>43</v>
      </c>
      <c r="D9" s="14">
        <v>147.39851436580224</v>
      </c>
    </row>
    <row r="10" spans="1:4" x14ac:dyDescent="0.45">
      <c r="A10" s="13">
        <v>2030</v>
      </c>
      <c r="B10" s="10" t="s">
        <v>24</v>
      </c>
      <c r="C10" s="2" t="s">
        <v>43</v>
      </c>
      <c r="D10" s="14">
        <v>196.3657312852136</v>
      </c>
    </row>
    <row r="11" spans="1:4" x14ac:dyDescent="0.45">
      <c r="A11" s="13">
        <v>2022</v>
      </c>
      <c r="B11" s="10" t="s">
        <v>24</v>
      </c>
      <c r="C11" s="2" t="s">
        <v>44</v>
      </c>
      <c r="D11" s="14">
        <v>18.145</v>
      </c>
    </row>
    <row r="12" spans="1:4" x14ac:dyDescent="0.45">
      <c r="A12" s="13">
        <v>2023</v>
      </c>
      <c r="B12" s="10" t="s">
        <v>24</v>
      </c>
      <c r="C12" s="2" t="s">
        <v>44</v>
      </c>
      <c r="D12" s="14">
        <v>25.100999999999999</v>
      </c>
    </row>
    <row r="13" spans="1:4" x14ac:dyDescent="0.45">
      <c r="A13" s="13">
        <v>2024</v>
      </c>
      <c r="B13" s="10" t="s">
        <v>24</v>
      </c>
      <c r="C13" s="2" t="s">
        <v>44</v>
      </c>
      <c r="D13" s="14">
        <v>25.024000000000001</v>
      </c>
    </row>
    <row r="14" spans="1:4" x14ac:dyDescent="0.45">
      <c r="A14" s="13">
        <v>2025</v>
      </c>
      <c r="B14" s="10" t="s">
        <v>24</v>
      </c>
      <c r="C14" s="2" t="s">
        <v>44</v>
      </c>
      <c r="D14" s="14">
        <v>26.776</v>
      </c>
    </row>
    <row r="15" spans="1:4" x14ac:dyDescent="0.45">
      <c r="A15" s="13">
        <v>2026</v>
      </c>
      <c r="B15" s="10" t="s">
        <v>24</v>
      </c>
      <c r="C15" s="2" t="s">
        <v>44</v>
      </c>
      <c r="D15" s="14">
        <v>28.65</v>
      </c>
    </row>
    <row r="16" spans="1:4" x14ac:dyDescent="0.45">
      <c r="A16" s="13">
        <v>2027</v>
      </c>
      <c r="B16" s="10" t="s">
        <v>24</v>
      </c>
      <c r="C16" s="2" t="s">
        <v>44</v>
      </c>
      <c r="D16" s="14">
        <v>30.655999999999999</v>
      </c>
    </row>
    <row r="17" spans="1:4" x14ac:dyDescent="0.45">
      <c r="A17" s="13">
        <v>2028</v>
      </c>
      <c r="B17" s="10" t="s">
        <v>24</v>
      </c>
      <c r="C17" s="2" t="s">
        <v>44</v>
      </c>
      <c r="D17" s="14">
        <v>32.802</v>
      </c>
    </row>
    <row r="18" spans="1:4" x14ac:dyDescent="0.45">
      <c r="A18" s="13">
        <v>2029</v>
      </c>
      <c r="B18" s="10" t="s">
        <v>24</v>
      </c>
      <c r="C18" s="2" t="s">
        <v>44</v>
      </c>
      <c r="D18" s="14">
        <v>35.097999999999999</v>
      </c>
    </row>
    <row r="19" spans="1:4" x14ac:dyDescent="0.45">
      <c r="A19" s="13">
        <v>2030</v>
      </c>
      <c r="B19" s="10" t="s">
        <v>24</v>
      </c>
      <c r="C19" s="2" t="s">
        <v>44</v>
      </c>
      <c r="D19" s="14">
        <v>37.555</v>
      </c>
    </row>
    <row r="20" spans="1:4" x14ac:dyDescent="0.45">
      <c r="A20" s="13">
        <v>2022</v>
      </c>
      <c r="B20" s="10" t="s">
        <v>24</v>
      </c>
      <c r="C20" s="2" t="s">
        <v>45</v>
      </c>
      <c r="D20" s="14">
        <v>8</v>
      </c>
    </row>
    <row r="21" spans="1:4" x14ac:dyDescent="0.45">
      <c r="A21" s="13">
        <v>2023</v>
      </c>
      <c r="B21" s="10" t="s">
        <v>24</v>
      </c>
      <c r="C21" s="2" t="s">
        <v>45</v>
      </c>
      <c r="D21" s="14">
        <v>10.041</v>
      </c>
    </row>
    <row r="22" spans="1:4" x14ac:dyDescent="0.45">
      <c r="A22" s="13">
        <v>2024</v>
      </c>
      <c r="B22" s="10" t="s">
        <v>24</v>
      </c>
      <c r="C22" s="2" t="s">
        <v>45</v>
      </c>
      <c r="D22" s="14">
        <v>10.426</v>
      </c>
    </row>
    <row r="23" spans="1:4" x14ac:dyDescent="0.45">
      <c r="A23" s="13">
        <v>2025</v>
      </c>
      <c r="B23" s="10" t="s">
        <v>24</v>
      </c>
      <c r="C23" s="2" t="s">
        <v>45</v>
      </c>
      <c r="D23" s="14">
        <v>11.677</v>
      </c>
    </row>
    <row r="24" spans="1:4" x14ac:dyDescent="0.45">
      <c r="A24" s="13">
        <v>2026</v>
      </c>
      <c r="B24" s="10" t="s">
        <v>24</v>
      </c>
      <c r="C24" s="2" t="s">
        <v>45</v>
      </c>
      <c r="D24" s="14">
        <v>13.077999999999999</v>
      </c>
    </row>
    <row r="25" spans="1:4" x14ac:dyDescent="0.45">
      <c r="A25" s="13">
        <v>2027</v>
      </c>
      <c r="B25" s="10" t="s">
        <v>24</v>
      </c>
      <c r="C25" s="2" t="s">
        <v>45</v>
      </c>
      <c r="D25" s="14">
        <v>14.647</v>
      </c>
    </row>
    <row r="26" spans="1:4" x14ac:dyDescent="0.45">
      <c r="A26" s="13">
        <v>2028</v>
      </c>
      <c r="B26" s="10" t="s">
        <v>24</v>
      </c>
      <c r="C26" s="2" t="s">
        <v>45</v>
      </c>
      <c r="D26" s="14">
        <v>16.405000000000001</v>
      </c>
    </row>
    <row r="27" spans="1:4" x14ac:dyDescent="0.45">
      <c r="A27" s="13">
        <v>2029</v>
      </c>
      <c r="B27" s="10" t="s">
        <v>24</v>
      </c>
      <c r="C27" s="2" t="s">
        <v>45</v>
      </c>
      <c r="D27" s="14">
        <v>18.374000000000002</v>
      </c>
    </row>
    <row r="28" spans="1:4" x14ac:dyDescent="0.45">
      <c r="A28" s="13">
        <v>2030</v>
      </c>
      <c r="B28" s="10" t="s">
        <v>24</v>
      </c>
      <c r="C28" s="2" t="s">
        <v>45</v>
      </c>
      <c r="D28" s="14">
        <v>20.579000000000001</v>
      </c>
    </row>
    <row r="29" spans="1:4" x14ac:dyDescent="0.45">
      <c r="A29" s="13">
        <v>2022</v>
      </c>
      <c r="B29" s="10" t="s">
        <v>24</v>
      </c>
      <c r="C29" s="2" t="s">
        <v>46</v>
      </c>
      <c r="D29" s="14">
        <v>4</v>
      </c>
    </row>
    <row r="30" spans="1:4" x14ac:dyDescent="0.45">
      <c r="A30" s="13">
        <v>2023</v>
      </c>
      <c r="B30" s="10" t="s">
        <v>24</v>
      </c>
      <c r="C30" s="2" t="s">
        <v>46</v>
      </c>
      <c r="D30" s="14">
        <v>5.5780000000000003</v>
      </c>
    </row>
    <row r="31" spans="1:4" x14ac:dyDescent="0.45">
      <c r="A31" s="13">
        <v>2024</v>
      </c>
      <c r="B31" s="10" t="s">
        <v>24</v>
      </c>
      <c r="C31" s="2" t="s">
        <v>46</v>
      </c>
      <c r="D31" s="14">
        <v>6.2560000000000002</v>
      </c>
    </row>
    <row r="32" spans="1:4" x14ac:dyDescent="0.45">
      <c r="A32" s="13">
        <v>2025</v>
      </c>
      <c r="B32" s="10" t="s">
        <v>24</v>
      </c>
      <c r="C32" s="2" t="s">
        <v>46</v>
      </c>
      <c r="D32" s="14">
        <v>7.5069999999999997</v>
      </c>
    </row>
    <row r="33" spans="1:4" x14ac:dyDescent="0.45">
      <c r="A33" s="13">
        <v>2026</v>
      </c>
      <c r="B33" s="10" t="s">
        <v>24</v>
      </c>
      <c r="C33" s="2" t="s">
        <v>46</v>
      </c>
      <c r="D33" s="14">
        <v>9.0079999999999991</v>
      </c>
    </row>
    <row r="34" spans="1:4" x14ac:dyDescent="0.45">
      <c r="A34" s="13">
        <v>2027</v>
      </c>
      <c r="B34" s="10" t="s">
        <v>24</v>
      </c>
      <c r="C34" s="2" t="s">
        <v>46</v>
      </c>
      <c r="D34" s="14">
        <v>10.809999999999999</v>
      </c>
    </row>
    <row r="35" spans="1:4" x14ac:dyDescent="0.45">
      <c r="A35" s="13">
        <v>2028</v>
      </c>
      <c r="B35" s="10" t="s">
        <v>24</v>
      </c>
      <c r="C35" s="2" t="s">
        <v>46</v>
      </c>
      <c r="D35" s="14">
        <v>12.972</v>
      </c>
    </row>
    <row r="36" spans="1:4" x14ac:dyDescent="0.45">
      <c r="A36" s="13">
        <v>2029</v>
      </c>
      <c r="B36" s="10" t="s">
        <v>24</v>
      </c>
      <c r="C36" s="2" t="s">
        <v>46</v>
      </c>
      <c r="D36" s="14">
        <v>15.565999999999999</v>
      </c>
    </row>
    <row r="37" spans="1:4" x14ac:dyDescent="0.45">
      <c r="A37" s="13">
        <v>2030</v>
      </c>
      <c r="B37" s="10" t="s">
        <v>24</v>
      </c>
      <c r="C37" s="2" t="s">
        <v>46</v>
      </c>
      <c r="D37" s="14">
        <v>18.678999999999998</v>
      </c>
    </row>
    <row r="38" spans="1:4" x14ac:dyDescent="0.45">
      <c r="A38" s="13">
        <v>2022</v>
      </c>
      <c r="B38" s="10" t="s">
        <v>24</v>
      </c>
      <c r="C38" s="2" t="s">
        <v>47</v>
      </c>
      <c r="D38" s="14">
        <v>1.5</v>
      </c>
    </row>
    <row r="39" spans="1:4" x14ac:dyDescent="0.45">
      <c r="A39" s="13">
        <v>2023</v>
      </c>
      <c r="B39" s="10" t="s">
        <v>24</v>
      </c>
      <c r="C39" s="2" t="s">
        <v>47</v>
      </c>
      <c r="D39" s="14">
        <v>2.008</v>
      </c>
    </row>
    <row r="40" spans="1:4" x14ac:dyDescent="0.45">
      <c r="A40" s="13">
        <v>2024</v>
      </c>
      <c r="B40" s="10" t="s">
        <v>24</v>
      </c>
      <c r="C40" s="2" t="s">
        <v>47</v>
      </c>
      <c r="D40" s="14">
        <v>2.085</v>
      </c>
    </row>
    <row r="41" spans="1:4" x14ac:dyDescent="0.45">
      <c r="A41" s="13">
        <v>2025</v>
      </c>
      <c r="B41" s="10" t="s">
        <v>24</v>
      </c>
      <c r="C41" s="2" t="s">
        <v>47</v>
      </c>
      <c r="D41" s="14">
        <v>2.3980000000000001</v>
      </c>
    </row>
    <row r="42" spans="1:4" x14ac:dyDescent="0.45">
      <c r="A42" s="13">
        <v>2026</v>
      </c>
      <c r="B42" s="10" t="s">
        <v>24</v>
      </c>
      <c r="C42" s="2" t="s">
        <v>47</v>
      </c>
      <c r="D42" s="14">
        <v>2.758</v>
      </c>
    </row>
    <row r="43" spans="1:4" x14ac:dyDescent="0.45">
      <c r="A43" s="13">
        <v>2027</v>
      </c>
      <c r="B43" s="10" t="s">
        <v>24</v>
      </c>
      <c r="C43" s="2" t="s">
        <v>47</v>
      </c>
      <c r="D43" s="14">
        <v>3.1719999999999997</v>
      </c>
    </row>
    <row r="44" spans="1:4" x14ac:dyDescent="0.45">
      <c r="A44" s="13">
        <v>2028</v>
      </c>
      <c r="B44" s="10" t="s">
        <v>24</v>
      </c>
      <c r="C44" s="2" t="s">
        <v>47</v>
      </c>
      <c r="D44" s="14">
        <v>3.6479999999999997</v>
      </c>
    </row>
    <row r="45" spans="1:4" x14ac:dyDescent="0.45">
      <c r="A45" s="13">
        <v>2029</v>
      </c>
      <c r="B45" s="10" t="s">
        <v>24</v>
      </c>
      <c r="C45" s="2" t="s">
        <v>47</v>
      </c>
      <c r="D45" s="14">
        <v>4.1950000000000003</v>
      </c>
    </row>
    <row r="46" spans="1:4" x14ac:dyDescent="0.45">
      <c r="A46" s="13">
        <v>2030</v>
      </c>
      <c r="B46" s="10" t="s">
        <v>24</v>
      </c>
      <c r="C46" s="2" t="s">
        <v>47</v>
      </c>
      <c r="D46" s="14">
        <v>4.8239999999999998</v>
      </c>
    </row>
    <row r="47" spans="1:4" x14ac:dyDescent="0.45">
      <c r="A47" s="13">
        <v>2022</v>
      </c>
      <c r="B47" s="10" t="s">
        <v>24</v>
      </c>
      <c r="C47" s="2" t="s">
        <v>48</v>
      </c>
      <c r="D47" s="14">
        <v>9.2639999999999993</v>
      </c>
    </row>
    <row r="48" spans="1:4" x14ac:dyDescent="0.45">
      <c r="A48" s="13">
        <v>2023</v>
      </c>
      <c r="B48" s="10" t="s">
        <v>24</v>
      </c>
      <c r="C48" s="2" t="s">
        <v>48</v>
      </c>
      <c r="D48" s="14">
        <v>8.782</v>
      </c>
    </row>
    <row r="49" spans="1:4" x14ac:dyDescent="0.45">
      <c r="A49" s="13">
        <v>2024</v>
      </c>
      <c r="B49" s="10" t="s">
        <v>24</v>
      </c>
      <c r="C49" s="2" t="s">
        <v>48</v>
      </c>
      <c r="D49" s="14">
        <v>10.115</v>
      </c>
    </row>
    <row r="50" spans="1:4" x14ac:dyDescent="0.45">
      <c r="A50" s="13">
        <v>2025</v>
      </c>
      <c r="B50" s="10" t="s">
        <v>24</v>
      </c>
      <c r="C50" s="2" t="s">
        <v>48</v>
      </c>
      <c r="D50" s="14">
        <v>10.762</v>
      </c>
    </row>
    <row r="51" spans="1:4" x14ac:dyDescent="0.45">
      <c r="A51" s="13">
        <v>2026</v>
      </c>
      <c r="B51" s="10" t="s">
        <v>24</v>
      </c>
      <c r="C51" s="2" t="s">
        <v>48</v>
      </c>
      <c r="D51" s="14">
        <v>11.451000000000001</v>
      </c>
    </row>
    <row r="52" spans="1:4" x14ac:dyDescent="0.45">
      <c r="A52" s="13">
        <v>2027</v>
      </c>
      <c r="B52" s="10" t="s">
        <v>24</v>
      </c>
      <c r="C52" s="2" t="s">
        <v>48</v>
      </c>
      <c r="D52" s="14">
        <v>12.184000000000001</v>
      </c>
    </row>
    <row r="53" spans="1:4" x14ac:dyDescent="0.45">
      <c r="A53" s="13">
        <v>2028</v>
      </c>
      <c r="B53" s="10" t="s">
        <v>24</v>
      </c>
      <c r="C53" s="2" t="s">
        <v>48</v>
      </c>
      <c r="D53" s="14">
        <v>12.963999999999999</v>
      </c>
    </row>
    <row r="54" spans="1:4" x14ac:dyDescent="0.45">
      <c r="A54" s="13">
        <v>2029</v>
      </c>
      <c r="B54" s="10" t="s">
        <v>24</v>
      </c>
      <c r="C54" s="2" t="s">
        <v>48</v>
      </c>
      <c r="D54" s="14">
        <v>13.794</v>
      </c>
    </row>
    <row r="55" spans="1:4" x14ac:dyDescent="0.45">
      <c r="A55" s="13">
        <v>2030</v>
      </c>
      <c r="B55" s="10" t="s">
        <v>24</v>
      </c>
      <c r="C55" s="2" t="s">
        <v>48</v>
      </c>
      <c r="D55" s="14">
        <v>14.677000000000001</v>
      </c>
    </row>
    <row r="56" spans="1:4" x14ac:dyDescent="0.45">
      <c r="A56" s="13">
        <v>2022</v>
      </c>
      <c r="B56" s="10" t="s">
        <v>24</v>
      </c>
      <c r="C56" s="2" t="s">
        <v>49</v>
      </c>
      <c r="D56" s="14">
        <v>81.462000000000003</v>
      </c>
    </row>
    <row r="57" spans="1:4" x14ac:dyDescent="0.45">
      <c r="A57" s="13">
        <v>2023</v>
      </c>
      <c r="B57" s="10" t="s">
        <v>24</v>
      </c>
      <c r="C57" s="2" t="s">
        <v>49</v>
      </c>
      <c r="D57" s="14">
        <v>96.772999999999996</v>
      </c>
    </row>
    <row r="58" spans="1:4" x14ac:dyDescent="0.45">
      <c r="A58" s="13">
        <v>2024</v>
      </c>
      <c r="B58" s="10" t="s">
        <v>24</v>
      </c>
      <c r="C58" s="2" t="s">
        <v>49</v>
      </c>
      <c r="D58" s="14">
        <v>97.69</v>
      </c>
    </row>
    <row r="59" spans="1:4" x14ac:dyDescent="0.45">
      <c r="A59" s="13">
        <v>2025</v>
      </c>
      <c r="B59" s="10" t="s">
        <v>24</v>
      </c>
      <c r="C59" s="2" t="s">
        <v>49</v>
      </c>
      <c r="D59" s="14">
        <v>107.72499999999999</v>
      </c>
    </row>
    <row r="60" spans="1:4" x14ac:dyDescent="0.45">
      <c r="A60" s="13">
        <v>2026</v>
      </c>
      <c r="B60" s="10" t="s">
        <v>24</v>
      </c>
      <c r="C60" s="2" t="s">
        <v>49</v>
      </c>
      <c r="D60" s="14">
        <v>123.35299999999998</v>
      </c>
    </row>
    <row r="61" spans="1:4" x14ac:dyDescent="0.45">
      <c r="A61" s="13">
        <v>2027</v>
      </c>
      <c r="B61" s="10" t="s">
        <v>24</v>
      </c>
      <c r="C61" s="2" t="s">
        <v>49</v>
      </c>
      <c r="D61" s="14">
        <v>146.04599999999999</v>
      </c>
    </row>
    <row r="62" spans="1:4" x14ac:dyDescent="0.45">
      <c r="A62" s="13">
        <v>2028</v>
      </c>
      <c r="B62" s="10" t="s">
        <v>24</v>
      </c>
      <c r="C62" s="2" t="s">
        <v>49</v>
      </c>
      <c r="D62" s="14">
        <v>186.125</v>
      </c>
    </row>
    <row r="63" spans="1:4" x14ac:dyDescent="0.45">
      <c r="A63" s="13">
        <v>2029</v>
      </c>
      <c r="B63" s="10" t="s">
        <v>24</v>
      </c>
      <c r="C63" s="2" t="s">
        <v>49</v>
      </c>
      <c r="D63" s="14">
        <v>234.42500000000001</v>
      </c>
    </row>
    <row r="64" spans="1:4" x14ac:dyDescent="0.45">
      <c r="A64" s="13">
        <v>2030</v>
      </c>
      <c r="B64" s="10" t="s">
        <v>24</v>
      </c>
      <c r="C64" s="2" t="s">
        <v>49</v>
      </c>
      <c r="D64" s="14">
        <v>292.67899999999997</v>
      </c>
    </row>
    <row r="65" spans="1:6" x14ac:dyDescent="0.45">
      <c r="A65" s="13">
        <v>2022</v>
      </c>
      <c r="B65" s="10" t="s">
        <v>25</v>
      </c>
      <c r="C65" s="2" t="s">
        <v>43</v>
      </c>
      <c r="D65" s="14">
        <v>40.552999999999997</v>
      </c>
    </row>
    <row r="66" spans="1:6" x14ac:dyDescent="0.45">
      <c r="A66" s="13">
        <v>2023</v>
      </c>
      <c r="B66" s="10" t="s">
        <v>25</v>
      </c>
      <c r="C66" s="2" t="s">
        <v>43</v>
      </c>
      <c r="D66" s="14">
        <v>45.28</v>
      </c>
    </row>
    <row r="67" spans="1:6" x14ac:dyDescent="0.45">
      <c r="A67" s="13">
        <v>2024</v>
      </c>
      <c r="B67" s="10" t="s">
        <v>25</v>
      </c>
      <c r="C67" s="2" t="s">
        <v>43</v>
      </c>
      <c r="D67" s="14">
        <v>43.8</v>
      </c>
    </row>
    <row r="68" spans="1:6" x14ac:dyDescent="0.45">
      <c r="A68" s="13">
        <v>2025</v>
      </c>
      <c r="B68" s="10" t="s">
        <v>25</v>
      </c>
      <c r="C68" s="2" t="s">
        <v>43</v>
      </c>
      <c r="D68" s="14">
        <v>55.89575</v>
      </c>
      <c r="F68" s="4"/>
    </row>
    <row r="69" spans="1:6" x14ac:dyDescent="0.45">
      <c r="A69" s="13">
        <v>2026</v>
      </c>
      <c r="B69" s="10" t="s">
        <v>25</v>
      </c>
      <c r="C69" s="2" t="s">
        <v>43</v>
      </c>
      <c r="D69" s="14">
        <v>67.169200000000004</v>
      </c>
      <c r="F69" s="4"/>
    </row>
    <row r="70" spans="1:6" x14ac:dyDescent="0.45">
      <c r="A70" s="13">
        <v>2027</v>
      </c>
      <c r="B70" s="10" t="s">
        <v>25</v>
      </c>
      <c r="C70" s="2" t="s">
        <v>43</v>
      </c>
      <c r="D70" s="14">
        <v>85.763549999999981</v>
      </c>
      <c r="F70" s="4"/>
    </row>
    <row r="71" spans="1:6" x14ac:dyDescent="0.45">
      <c r="A71" s="13">
        <v>2028</v>
      </c>
      <c r="B71" s="10" t="s">
        <v>25</v>
      </c>
      <c r="C71" s="2" t="s">
        <v>43</v>
      </c>
      <c r="D71" s="14">
        <v>123.43409999999999</v>
      </c>
      <c r="F71" s="4"/>
    </row>
    <row r="72" spans="1:6" x14ac:dyDescent="0.45">
      <c r="A72" s="13">
        <v>2029</v>
      </c>
      <c r="B72" s="10" t="s">
        <v>25</v>
      </c>
      <c r="C72" s="2" t="s">
        <v>43</v>
      </c>
      <c r="D72" s="14">
        <v>169.50769999999997</v>
      </c>
      <c r="F72" s="4"/>
    </row>
    <row r="73" spans="1:6" x14ac:dyDescent="0.45">
      <c r="A73" s="13">
        <v>2030</v>
      </c>
      <c r="B73" s="10" t="s">
        <v>25</v>
      </c>
      <c r="C73" s="2" t="s">
        <v>43</v>
      </c>
      <c r="D73" s="14">
        <v>225.81975000000003</v>
      </c>
      <c r="F73" s="4"/>
    </row>
    <row r="74" spans="1:6" x14ac:dyDescent="0.45">
      <c r="A74" s="13">
        <v>2022</v>
      </c>
      <c r="B74" s="10" t="s">
        <v>25</v>
      </c>
      <c r="C74" s="2" t="s">
        <v>44</v>
      </c>
      <c r="D74" s="14">
        <v>18.145</v>
      </c>
    </row>
    <row r="75" spans="1:6" x14ac:dyDescent="0.45">
      <c r="A75" s="13">
        <v>2023</v>
      </c>
      <c r="B75" s="10" t="s">
        <v>25</v>
      </c>
      <c r="C75" s="2" t="s">
        <v>44</v>
      </c>
      <c r="D75" s="14">
        <v>25.100999999999999</v>
      </c>
    </row>
    <row r="76" spans="1:6" x14ac:dyDescent="0.45">
      <c r="A76" s="13">
        <v>2024</v>
      </c>
      <c r="B76" s="10" t="s">
        <v>25</v>
      </c>
      <c r="C76" s="2" t="s">
        <v>44</v>
      </c>
      <c r="D76" s="14">
        <v>25.024000000000001</v>
      </c>
    </row>
    <row r="77" spans="1:6" x14ac:dyDescent="0.45">
      <c r="A77" s="13">
        <v>2025</v>
      </c>
      <c r="B77" s="10" t="s">
        <v>25</v>
      </c>
      <c r="C77" s="2" t="s">
        <v>44</v>
      </c>
      <c r="D77" s="14">
        <v>30.792399999999997</v>
      </c>
    </row>
    <row r="78" spans="1:6" x14ac:dyDescent="0.45">
      <c r="A78" s="13">
        <v>2026</v>
      </c>
      <c r="B78" s="10" t="s">
        <v>25</v>
      </c>
      <c r="C78" s="2" t="s">
        <v>44</v>
      </c>
      <c r="D78" s="14">
        <v>32.947500000000005</v>
      </c>
    </row>
    <row r="79" spans="1:6" x14ac:dyDescent="0.45">
      <c r="A79" s="13">
        <v>2027</v>
      </c>
      <c r="B79" s="10" t="s">
        <v>25</v>
      </c>
      <c r="C79" s="2" t="s">
        <v>44</v>
      </c>
      <c r="D79" s="14">
        <v>35.254399999999997</v>
      </c>
    </row>
    <row r="80" spans="1:6" x14ac:dyDescent="0.45">
      <c r="A80" s="13">
        <v>2028</v>
      </c>
      <c r="B80" s="10" t="s">
        <v>25</v>
      </c>
      <c r="C80" s="2" t="s">
        <v>44</v>
      </c>
      <c r="D80" s="14">
        <v>37.722300000000004</v>
      </c>
    </row>
    <row r="81" spans="1:4" x14ac:dyDescent="0.45">
      <c r="A81" s="13">
        <v>2029</v>
      </c>
      <c r="B81" s="10" t="s">
        <v>25</v>
      </c>
      <c r="C81" s="2" t="s">
        <v>44</v>
      </c>
      <c r="D81" s="14">
        <v>40.362700000000004</v>
      </c>
    </row>
    <row r="82" spans="1:4" x14ac:dyDescent="0.45">
      <c r="A82" s="13">
        <v>2030</v>
      </c>
      <c r="B82" s="10" t="s">
        <v>25</v>
      </c>
      <c r="C82" s="2" t="s">
        <v>44</v>
      </c>
      <c r="D82" s="14">
        <v>43.188249999999996</v>
      </c>
    </row>
    <row r="83" spans="1:4" x14ac:dyDescent="0.45">
      <c r="A83" s="13">
        <v>2022</v>
      </c>
      <c r="B83" s="10" t="s">
        <v>25</v>
      </c>
      <c r="C83" s="2" t="s">
        <v>45</v>
      </c>
      <c r="D83" s="14">
        <v>8</v>
      </c>
    </row>
    <row r="84" spans="1:4" x14ac:dyDescent="0.45">
      <c r="A84" s="13">
        <v>2023</v>
      </c>
      <c r="B84" s="10" t="s">
        <v>25</v>
      </c>
      <c r="C84" s="2" t="s">
        <v>45</v>
      </c>
      <c r="D84" s="14">
        <v>10.041</v>
      </c>
    </row>
    <row r="85" spans="1:4" x14ac:dyDescent="0.45">
      <c r="A85" s="13">
        <v>2024</v>
      </c>
      <c r="B85" s="10" t="s">
        <v>25</v>
      </c>
      <c r="C85" s="2" t="s">
        <v>45</v>
      </c>
      <c r="D85" s="14">
        <v>10.426</v>
      </c>
    </row>
    <row r="86" spans="1:4" x14ac:dyDescent="0.45">
      <c r="A86" s="13">
        <v>2025</v>
      </c>
      <c r="B86" s="10" t="s">
        <v>25</v>
      </c>
      <c r="C86" s="2" t="s">
        <v>45</v>
      </c>
      <c r="D86" s="14">
        <v>13.428550000000001</v>
      </c>
    </row>
    <row r="87" spans="1:4" x14ac:dyDescent="0.45">
      <c r="A87" s="13">
        <v>2026</v>
      </c>
      <c r="B87" s="10" t="s">
        <v>25</v>
      </c>
      <c r="C87" s="2" t="s">
        <v>45</v>
      </c>
      <c r="D87" s="14">
        <v>15.0397</v>
      </c>
    </row>
    <row r="88" spans="1:4" x14ac:dyDescent="0.45">
      <c r="A88" s="13">
        <v>2027</v>
      </c>
      <c r="B88" s="10" t="s">
        <v>25</v>
      </c>
      <c r="C88" s="2" t="s">
        <v>45</v>
      </c>
      <c r="D88" s="14">
        <v>16.844049999999999</v>
      </c>
    </row>
    <row r="89" spans="1:4" x14ac:dyDescent="0.45">
      <c r="A89" s="13">
        <v>2028</v>
      </c>
      <c r="B89" s="10" t="s">
        <v>25</v>
      </c>
      <c r="C89" s="2" t="s">
        <v>45</v>
      </c>
      <c r="D89" s="14">
        <v>18.865749999999998</v>
      </c>
    </row>
    <row r="90" spans="1:4" x14ac:dyDescent="0.45">
      <c r="A90" s="13">
        <v>2029</v>
      </c>
      <c r="B90" s="10" t="s">
        <v>25</v>
      </c>
      <c r="C90" s="2" t="s">
        <v>45</v>
      </c>
      <c r="D90" s="14">
        <v>21.130099999999999</v>
      </c>
    </row>
    <row r="91" spans="1:4" x14ac:dyDescent="0.45">
      <c r="A91" s="13">
        <v>2030</v>
      </c>
      <c r="B91" s="10" t="s">
        <v>25</v>
      </c>
      <c r="C91" s="2" t="s">
        <v>45</v>
      </c>
      <c r="D91" s="14">
        <v>23.665849999999999</v>
      </c>
    </row>
    <row r="92" spans="1:4" x14ac:dyDescent="0.45">
      <c r="A92" s="13">
        <v>2022</v>
      </c>
      <c r="B92" s="10" t="s">
        <v>25</v>
      </c>
      <c r="C92" s="2" t="s">
        <v>46</v>
      </c>
      <c r="D92" s="14">
        <v>4</v>
      </c>
    </row>
    <row r="93" spans="1:4" x14ac:dyDescent="0.45">
      <c r="A93" s="13">
        <v>2023</v>
      </c>
      <c r="B93" s="10" t="s">
        <v>25</v>
      </c>
      <c r="C93" s="2" t="s">
        <v>46</v>
      </c>
      <c r="D93" s="14">
        <v>5.5780000000000003</v>
      </c>
    </row>
    <row r="94" spans="1:4" x14ac:dyDescent="0.45">
      <c r="A94" s="13">
        <v>2024</v>
      </c>
      <c r="B94" s="10" t="s">
        <v>25</v>
      </c>
      <c r="C94" s="2" t="s">
        <v>46</v>
      </c>
      <c r="D94" s="14">
        <v>6.2560000000000002</v>
      </c>
    </row>
    <row r="95" spans="1:4" x14ac:dyDescent="0.45">
      <c r="A95" s="13">
        <v>2025</v>
      </c>
      <c r="B95" s="10" t="s">
        <v>25</v>
      </c>
      <c r="C95" s="2" t="s">
        <v>46</v>
      </c>
      <c r="D95" s="14">
        <v>8.6330500000000008</v>
      </c>
    </row>
    <row r="96" spans="1:4" x14ac:dyDescent="0.45">
      <c r="A96" s="13">
        <v>2026</v>
      </c>
      <c r="B96" s="10" t="s">
        <v>25</v>
      </c>
      <c r="C96" s="2" t="s">
        <v>46</v>
      </c>
      <c r="D96" s="14">
        <v>10.3592</v>
      </c>
    </row>
    <row r="97" spans="1:4" x14ac:dyDescent="0.45">
      <c r="A97" s="13">
        <v>2027</v>
      </c>
      <c r="B97" s="10" t="s">
        <v>25</v>
      </c>
      <c r="C97" s="2" t="s">
        <v>46</v>
      </c>
      <c r="D97" s="14">
        <v>12.4315</v>
      </c>
    </row>
    <row r="98" spans="1:4" x14ac:dyDescent="0.45">
      <c r="A98" s="13">
        <v>2028</v>
      </c>
      <c r="B98" s="10" t="s">
        <v>25</v>
      </c>
      <c r="C98" s="2" t="s">
        <v>46</v>
      </c>
      <c r="D98" s="14">
        <v>14.9178</v>
      </c>
    </row>
    <row r="99" spans="1:4" x14ac:dyDescent="0.45">
      <c r="A99" s="13">
        <v>2029</v>
      </c>
      <c r="B99" s="10" t="s">
        <v>25</v>
      </c>
      <c r="C99" s="2" t="s">
        <v>46</v>
      </c>
      <c r="D99" s="14">
        <v>17.9009</v>
      </c>
    </row>
    <row r="100" spans="1:4" x14ac:dyDescent="0.45">
      <c r="A100" s="13">
        <v>2030</v>
      </c>
      <c r="B100" s="10" t="s">
        <v>25</v>
      </c>
      <c r="C100" s="2" t="s">
        <v>46</v>
      </c>
      <c r="D100" s="14">
        <v>21.48085</v>
      </c>
    </row>
    <row r="101" spans="1:4" x14ac:dyDescent="0.45">
      <c r="A101" s="13">
        <v>2022</v>
      </c>
      <c r="B101" s="10" t="s">
        <v>25</v>
      </c>
      <c r="C101" s="2" t="s">
        <v>47</v>
      </c>
      <c r="D101" s="14">
        <v>1.5</v>
      </c>
    </row>
    <row r="102" spans="1:4" x14ac:dyDescent="0.45">
      <c r="A102" s="13">
        <v>2023</v>
      </c>
      <c r="B102" s="10" t="s">
        <v>25</v>
      </c>
      <c r="C102" s="2" t="s">
        <v>47</v>
      </c>
      <c r="D102" s="14">
        <v>2.008</v>
      </c>
    </row>
    <row r="103" spans="1:4" x14ac:dyDescent="0.45">
      <c r="A103" s="13">
        <v>2024</v>
      </c>
      <c r="B103" s="10" t="s">
        <v>25</v>
      </c>
      <c r="C103" s="2" t="s">
        <v>47</v>
      </c>
      <c r="D103" s="14">
        <v>2.085</v>
      </c>
    </row>
    <row r="104" spans="1:4" x14ac:dyDescent="0.45">
      <c r="A104" s="13">
        <v>2025</v>
      </c>
      <c r="B104" s="10" t="s">
        <v>25</v>
      </c>
      <c r="C104" s="2" t="s">
        <v>47</v>
      </c>
      <c r="D104" s="14">
        <v>2.7577000000000003</v>
      </c>
    </row>
    <row r="105" spans="1:4" x14ac:dyDescent="0.45">
      <c r="A105" s="13">
        <v>2026</v>
      </c>
      <c r="B105" s="10" t="s">
        <v>25</v>
      </c>
      <c r="C105" s="2" t="s">
        <v>47</v>
      </c>
      <c r="D105" s="14">
        <v>3.1717</v>
      </c>
    </row>
    <row r="106" spans="1:4" x14ac:dyDescent="0.45">
      <c r="A106" s="13">
        <v>2027</v>
      </c>
      <c r="B106" s="10" t="s">
        <v>25</v>
      </c>
      <c r="C106" s="2" t="s">
        <v>47</v>
      </c>
      <c r="D106" s="14">
        <v>3.6478000000000002</v>
      </c>
    </row>
    <row r="107" spans="1:4" x14ac:dyDescent="0.45">
      <c r="A107" s="13">
        <v>2028</v>
      </c>
      <c r="B107" s="10" t="s">
        <v>25</v>
      </c>
      <c r="C107" s="2" t="s">
        <v>47</v>
      </c>
      <c r="D107" s="14">
        <v>4.1951999999999998</v>
      </c>
    </row>
    <row r="108" spans="1:4" x14ac:dyDescent="0.45">
      <c r="A108" s="13">
        <v>2029</v>
      </c>
      <c r="B108" s="10" t="s">
        <v>25</v>
      </c>
      <c r="C108" s="2" t="s">
        <v>47</v>
      </c>
      <c r="D108" s="14">
        <v>4.8242500000000001</v>
      </c>
    </row>
    <row r="109" spans="1:4" x14ac:dyDescent="0.45">
      <c r="A109" s="13">
        <v>2030</v>
      </c>
      <c r="B109" s="10" t="s">
        <v>25</v>
      </c>
      <c r="C109" s="2" t="s">
        <v>47</v>
      </c>
      <c r="D109" s="14">
        <v>5.5476000000000001</v>
      </c>
    </row>
    <row r="110" spans="1:4" x14ac:dyDescent="0.45">
      <c r="A110" s="13">
        <v>2022</v>
      </c>
      <c r="B110" s="10" t="s">
        <v>25</v>
      </c>
      <c r="C110" s="2" t="s">
        <v>48</v>
      </c>
      <c r="D110" s="14">
        <v>9.2639999999999993</v>
      </c>
    </row>
    <row r="111" spans="1:4" x14ac:dyDescent="0.45">
      <c r="A111" s="13">
        <v>2023</v>
      </c>
      <c r="B111" s="10" t="s">
        <v>25</v>
      </c>
      <c r="C111" s="2" t="s">
        <v>48</v>
      </c>
      <c r="D111" s="14">
        <v>8.782</v>
      </c>
    </row>
    <row r="112" spans="1:4" x14ac:dyDescent="0.45">
      <c r="A112" s="13">
        <v>2024</v>
      </c>
      <c r="B112" s="10" t="s">
        <v>25</v>
      </c>
      <c r="C112" s="2" t="s">
        <v>48</v>
      </c>
      <c r="D112" s="14">
        <v>10.115</v>
      </c>
    </row>
    <row r="113" spans="1:4" x14ac:dyDescent="0.45">
      <c r="A113" s="13">
        <v>2025</v>
      </c>
      <c r="B113" s="10" t="s">
        <v>25</v>
      </c>
      <c r="C113" s="2" t="s">
        <v>48</v>
      </c>
      <c r="D113" s="14">
        <v>12.376300000000001</v>
      </c>
    </row>
    <row r="114" spans="1:4" x14ac:dyDescent="0.45">
      <c r="A114" s="13">
        <v>2026</v>
      </c>
      <c r="B114" s="10" t="s">
        <v>25</v>
      </c>
      <c r="C114" s="2" t="s">
        <v>48</v>
      </c>
      <c r="D114" s="14">
        <v>13.16865</v>
      </c>
    </row>
    <row r="115" spans="1:4" x14ac:dyDescent="0.45">
      <c r="A115" s="13">
        <v>2027</v>
      </c>
      <c r="B115" s="10" t="s">
        <v>25</v>
      </c>
      <c r="C115" s="2" t="s">
        <v>48</v>
      </c>
      <c r="D115" s="14">
        <v>14.011600000000001</v>
      </c>
    </row>
    <row r="116" spans="1:4" x14ac:dyDescent="0.45">
      <c r="A116" s="13">
        <v>2028</v>
      </c>
      <c r="B116" s="10" t="s">
        <v>25</v>
      </c>
      <c r="C116" s="2" t="s">
        <v>48</v>
      </c>
      <c r="D116" s="14">
        <v>14.908600000000002</v>
      </c>
    </row>
    <row r="117" spans="1:4" x14ac:dyDescent="0.45">
      <c r="A117" s="13">
        <v>2029</v>
      </c>
      <c r="B117" s="10" t="s">
        <v>25</v>
      </c>
      <c r="C117" s="2" t="s">
        <v>48</v>
      </c>
      <c r="D117" s="14">
        <v>15.863099999999999</v>
      </c>
    </row>
    <row r="118" spans="1:4" x14ac:dyDescent="0.45">
      <c r="A118" s="13">
        <v>2030</v>
      </c>
      <c r="B118" s="10" t="s">
        <v>25</v>
      </c>
      <c r="C118" s="2" t="s">
        <v>48</v>
      </c>
      <c r="D118" s="14">
        <v>16.878550000000001</v>
      </c>
    </row>
    <row r="119" spans="1:4" x14ac:dyDescent="0.45">
      <c r="A119" s="13">
        <v>2022</v>
      </c>
      <c r="B119" s="10" t="s">
        <v>25</v>
      </c>
      <c r="C119" s="2" t="s">
        <v>49</v>
      </c>
      <c r="D119" s="14">
        <v>81.462000000000003</v>
      </c>
    </row>
    <row r="120" spans="1:4" x14ac:dyDescent="0.45">
      <c r="A120" s="13">
        <v>2023</v>
      </c>
      <c r="B120" s="10" t="s">
        <v>25</v>
      </c>
      <c r="C120" s="2" t="s">
        <v>49</v>
      </c>
      <c r="D120" s="14">
        <v>96.772999999999996</v>
      </c>
    </row>
    <row r="121" spans="1:4" x14ac:dyDescent="0.45">
      <c r="A121" s="13">
        <v>2024</v>
      </c>
      <c r="B121" s="10" t="s">
        <v>25</v>
      </c>
      <c r="C121" s="2" t="s">
        <v>49</v>
      </c>
      <c r="D121" s="14">
        <v>97.69</v>
      </c>
    </row>
    <row r="122" spans="1:4" x14ac:dyDescent="0.45">
      <c r="A122" s="13">
        <v>2025</v>
      </c>
      <c r="B122" s="10" t="s">
        <v>25</v>
      </c>
      <c r="C122" s="2" t="s">
        <v>49</v>
      </c>
      <c r="D122" s="14">
        <v>123.88374999999999</v>
      </c>
    </row>
    <row r="123" spans="1:4" x14ac:dyDescent="0.45">
      <c r="A123" s="13">
        <v>2026</v>
      </c>
      <c r="B123" s="10" t="s">
        <v>25</v>
      </c>
      <c r="C123" s="2" t="s">
        <v>49</v>
      </c>
      <c r="D123" s="14">
        <v>141.85595000000004</v>
      </c>
    </row>
    <row r="124" spans="1:4" x14ac:dyDescent="0.45">
      <c r="A124" s="13">
        <v>2027</v>
      </c>
      <c r="B124" s="10" t="s">
        <v>25</v>
      </c>
      <c r="C124" s="2" t="s">
        <v>49</v>
      </c>
      <c r="D124" s="14">
        <v>167.95289999999997</v>
      </c>
    </row>
    <row r="125" spans="1:4" x14ac:dyDescent="0.45">
      <c r="A125" s="13">
        <v>2028</v>
      </c>
      <c r="B125" s="10" t="s">
        <v>25</v>
      </c>
      <c r="C125" s="2" t="s">
        <v>49</v>
      </c>
      <c r="D125" s="14">
        <v>214.04374999999999</v>
      </c>
    </row>
    <row r="126" spans="1:4" x14ac:dyDescent="0.45">
      <c r="A126" s="13">
        <v>2029</v>
      </c>
      <c r="B126" s="10" t="s">
        <v>25</v>
      </c>
      <c r="C126" s="2" t="s">
        <v>49</v>
      </c>
      <c r="D126" s="14">
        <v>269.58874999999995</v>
      </c>
    </row>
    <row r="127" spans="1:4" x14ac:dyDescent="0.45">
      <c r="A127" s="13">
        <v>2030</v>
      </c>
      <c r="B127" s="10" t="s">
        <v>25</v>
      </c>
      <c r="C127" s="2" t="s">
        <v>49</v>
      </c>
      <c r="D127" s="14">
        <v>336.58085000000005</v>
      </c>
    </row>
    <row r="128" spans="1:4" x14ac:dyDescent="0.45">
      <c r="A128" s="13">
        <v>2022</v>
      </c>
      <c r="B128" s="10" t="s">
        <v>23</v>
      </c>
      <c r="C128" s="2" t="s">
        <v>43</v>
      </c>
      <c r="D128" s="14">
        <v>40.552999999999997</v>
      </c>
    </row>
    <row r="129" spans="1:7" x14ac:dyDescent="0.45">
      <c r="A129" s="13">
        <v>2023</v>
      </c>
      <c r="B129" s="10" t="s">
        <v>23</v>
      </c>
      <c r="C129" s="2" t="s">
        <v>43</v>
      </c>
      <c r="D129" s="14">
        <v>45.28</v>
      </c>
    </row>
    <row r="130" spans="1:7" x14ac:dyDescent="0.45">
      <c r="A130" s="13">
        <v>2024</v>
      </c>
      <c r="B130" s="10" t="s">
        <v>23</v>
      </c>
      <c r="C130" s="2" t="s">
        <v>43</v>
      </c>
      <c r="D130" s="14">
        <v>43.8</v>
      </c>
    </row>
    <row r="131" spans="1:7" x14ac:dyDescent="0.45">
      <c r="A131" s="13">
        <v>2025</v>
      </c>
      <c r="B131" s="10" t="s">
        <v>23</v>
      </c>
      <c r="C131" s="2" t="s">
        <v>43</v>
      </c>
      <c r="D131" s="14">
        <v>43.744500000000002</v>
      </c>
      <c r="G131" s="4"/>
    </row>
    <row r="132" spans="1:7" x14ac:dyDescent="0.45">
      <c r="A132" s="13">
        <v>2026</v>
      </c>
      <c r="B132" s="10" t="s">
        <v>23</v>
      </c>
      <c r="C132" s="2" t="s">
        <v>43</v>
      </c>
      <c r="D132" s="14">
        <v>52.567199999999993</v>
      </c>
      <c r="G132" s="4"/>
    </row>
    <row r="133" spans="1:7" x14ac:dyDescent="0.45">
      <c r="A133" s="13">
        <v>2027</v>
      </c>
      <c r="B133" s="10" t="s">
        <v>23</v>
      </c>
      <c r="C133" s="2" t="s">
        <v>43</v>
      </c>
      <c r="D133" s="14">
        <v>67.119299999999996</v>
      </c>
      <c r="G133" s="4"/>
    </row>
    <row r="134" spans="1:7" x14ac:dyDescent="0.45">
      <c r="A134" s="13">
        <v>2028</v>
      </c>
      <c r="B134" s="10" t="s">
        <v>23</v>
      </c>
      <c r="C134" s="2" t="s">
        <v>43</v>
      </c>
      <c r="D134" s="14">
        <v>96.600600000000014</v>
      </c>
      <c r="G134" s="4"/>
    </row>
    <row r="135" spans="1:7" x14ac:dyDescent="0.45">
      <c r="A135" s="13">
        <v>2029</v>
      </c>
      <c r="B135" s="10" t="s">
        <v>23</v>
      </c>
      <c r="C135" s="2" t="s">
        <v>43</v>
      </c>
      <c r="D135" s="14">
        <v>132.65819999999999</v>
      </c>
      <c r="G135" s="4"/>
    </row>
    <row r="136" spans="1:7" x14ac:dyDescent="0.45">
      <c r="A136" s="13">
        <v>2030</v>
      </c>
      <c r="B136" s="10" t="s">
        <v>23</v>
      </c>
      <c r="C136" s="2" t="s">
        <v>43</v>
      </c>
      <c r="D136" s="14">
        <v>176.7285</v>
      </c>
      <c r="G136" s="4"/>
    </row>
    <row r="137" spans="1:7" x14ac:dyDescent="0.45">
      <c r="A137" s="13">
        <v>2022</v>
      </c>
      <c r="B137" s="10" t="s">
        <v>23</v>
      </c>
      <c r="C137" s="2" t="s">
        <v>44</v>
      </c>
      <c r="D137" s="14">
        <v>18.145</v>
      </c>
    </row>
    <row r="138" spans="1:7" x14ac:dyDescent="0.45">
      <c r="A138" s="13">
        <v>2023</v>
      </c>
      <c r="B138" s="10" t="s">
        <v>23</v>
      </c>
      <c r="C138" s="2" t="s">
        <v>44</v>
      </c>
      <c r="D138" s="14">
        <v>25.100999999999999</v>
      </c>
    </row>
    <row r="139" spans="1:7" x14ac:dyDescent="0.45">
      <c r="A139" s="13">
        <v>2024</v>
      </c>
      <c r="B139" s="10" t="s">
        <v>23</v>
      </c>
      <c r="C139" s="2" t="s">
        <v>44</v>
      </c>
      <c r="D139" s="14">
        <v>25.024000000000001</v>
      </c>
    </row>
    <row r="140" spans="1:7" x14ac:dyDescent="0.45">
      <c r="A140" s="13">
        <v>2025</v>
      </c>
      <c r="B140" s="10" t="s">
        <v>23</v>
      </c>
      <c r="C140" s="2" t="s">
        <v>44</v>
      </c>
      <c r="D140" s="14">
        <v>24.098400000000002</v>
      </c>
    </row>
    <row r="141" spans="1:7" x14ac:dyDescent="0.45">
      <c r="A141" s="13">
        <v>2026</v>
      </c>
      <c r="B141" s="10" t="s">
        <v>23</v>
      </c>
      <c r="C141" s="2" t="s">
        <v>44</v>
      </c>
      <c r="D141" s="14">
        <v>25.785000000000004</v>
      </c>
    </row>
    <row r="142" spans="1:7" x14ac:dyDescent="0.45">
      <c r="A142" s="13">
        <v>2027</v>
      </c>
      <c r="B142" s="10" t="s">
        <v>23</v>
      </c>
      <c r="C142" s="2" t="s">
        <v>44</v>
      </c>
      <c r="D142" s="14">
        <v>27.590399999999999</v>
      </c>
    </row>
    <row r="143" spans="1:7" x14ac:dyDescent="0.45">
      <c r="A143" s="13">
        <v>2028</v>
      </c>
      <c r="B143" s="10" t="s">
        <v>23</v>
      </c>
      <c r="C143" s="2" t="s">
        <v>44</v>
      </c>
      <c r="D143" s="14">
        <v>29.521800000000002</v>
      </c>
    </row>
    <row r="144" spans="1:7" x14ac:dyDescent="0.45">
      <c r="A144" s="13">
        <v>2029</v>
      </c>
      <c r="B144" s="10" t="s">
        <v>23</v>
      </c>
      <c r="C144" s="2" t="s">
        <v>44</v>
      </c>
      <c r="D144" s="14">
        <v>31.588200000000001</v>
      </c>
    </row>
    <row r="145" spans="1:4" x14ac:dyDescent="0.45">
      <c r="A145" s="13">
        <v>2030</v>
      </c>
      <c r="B145" s="10" t="s">
        <v>23</v>
      </c>
      <c r="C145" s="2" t="s">
        <v>44</v>
      </c>
      <c r="D145" s="14">
        <v>33.799500000000002</v>
      </c>
    </row>
    <row r="146" spans="1:4" x14ac:dyDescent="0.45">
      <c r="A146" s="13">
        <v>2022</v>
      </c>
      <c r="B146" s="10" t="s">
        <v>23</v>
      </c>
      <c r="C146" s="2" t="s">
        <v>45</v>
      </c>
      <c r="D146" s="14">
        <v>8</v>
      </c>
    </row>
    <row r="147" spans="1:4" x14ac:dyDescent="0.45">
      <c r="A147" s="13">
        <v>2023</v>
      </c>
      <c r="B147" s="10" t="s">
        <v>23</v>
      </c>
      <c r="C147" s="2" t="s">
        <v>45</v>
      </c>
      <c r="D147" s="14">
        <v>10.041</v>
      </c>
    </row>
    <row r="148" spans="1:4" x14ac:dyDescent="0.45">
      <c r="A148" s="13">
        <v>2024</v>
      </c>
      <c r="B148" s="10" t="s">
        <v>23</v>
      </c>
      <c r="C148" s="2" t="s">
        <v>45</v>
      </c>
      <c r="D148" s="14">
        <v>10.426</v>
      </c>
    </row>
    <row r="149" spans="1:4" x14ac:dyDescent="0.45">
      <c r="A149" s="13">
        <v>2025</v>
      </c>
      <c r="B149" s="10" t="s">
        <v>23</v>
      </c>
      <c r="C149" s="2" t="s">
        <v>45</v>
      </c>
      <c r="D149" s="14">
        <v>10.5093</v>
      </c>
    </row>
    <row r="150" spans="1:4" x14ac:dyDescent="0.45">
      <c r="A150" s="13">
        <v>2026</v>
      </c>
      <c r="B150" s="10" t="s">
        <v>23</v>
      </c>
      <c r="C150" s="2" t="s">
        <v>45</v>
      </c>
      <c r="D150" s="14">
        <v>11.770199999999999</v>
      </c>
    </row>
    <row r="151" spans="1:4" x14ac:dyDescent="0.45">
      <c r="A151" s="13">
        <v>2027</v>
      </c>
      <c r="B151" s="10" t="s">
        <v>23</v>
      </c>
      <c r="C151" s="2" t="s">
        <v>45</v>
      </c>
      <c r="D151" s="14">
        <v>13.182300000000001</v>
      </c>
    </row>
    <row r="152" spans="1:4" x14ac:dyDescent="0.45">
      <c r="A152" s="13">
        <v>2028</v>
      </c>
      <c r="B152" s="10" t="s">
        <v>23</v>
      </c>
      <c r="C152" s="2" t="s">
        <v>45</v>
      </c>
      <c r="D152" s="14">
        <v>14.764500000000002</v>
      </c>
    </row>
    <row r="153" spans="1:4" x14ac:dyDescent="0.45">
      <c r="A153" s="13">
        <v>2029</v>
      </c>
      <c r="B153" s="10" t="s">
        <v>23</v>
      </c>
      <c r="C153" s="2" t="s">
        <v>45</v>
      </c>
      <c r="D153" s="14">
        <v>16.5366</v>
      </c>
    </row>
    <row r="154" spans="1:4" x14ac:dyDescent="0.45">
      <c r="A154" s="13">
        <v>2030</v>
      </c>
      <c r="B154" s="10" t="s">
        <v>23</v>
      </c>
      <c r="C154" s="2" t="s">
        <v>45</v>
      </c>
      <c r="D154" s="14">
        <v>18.521100000000001</v>
      </c>
    </row>
    <row r="155" spans="1:4" x14ac:dyDescent="0.45">
      <c r="A155" s="13">
        <v>2022</v>
      </c>
      <c r="B155" s="10" t="s">
        <v>23</v>
      </c>
      <c r="C155" s="2" t="s">
        <v>46</v>
      </c>
      <c r="D155" s="14">
        <v>4</v>
      </c>
    </row>
    <row r="156" spans="1:4" x14ac:dyDescent="0.45">
      <c r="A156" s="13">
        <v>2023</v>
      </c>
      <c r="B156" s="10" t="s">
        <v>23</v>
      </c>
      <c r="C156" s="2" t="s">
        <v>46</v>
      </c>
      <c r="D156" s="14">
        <v>5.5780000000000003</v>
      </c>
    </row>
    <row r="157" spans="1:4" x14ac:dyDescent="0.45">
      <c r="A157" s="13">
        <v>2024</v>
      </c>
      <c r="B157" s="10" t="s">
        <v>23</v>
      </c>
      <c r="C157" s="2" t="s">
        <v>46</v>
      </c>
      <c r="D157" s="14">
        <v>6.2560000000000002</v>
      </c>
    </row>
    <row r="158" spans="1:4" x14ac:dyDescent="0.45">
      <c r="A158" s="13">
        <v>2025</v>
      </c>
      <c r="B158" s="10" t="s">
        <v>23</v>
      </c>
      <c r="C158" s="2" t="s">
        <v>46</v>
      </c>
      <c r="D158" s="14">
        <v>6.7563000000000004</v>
      </c>
    </row>
    <row r="159" spans="1:4" x14ac:dyDescent="0.45">
      <c r="A159" s="13">
        <v>2026</v>
      </c>
      <c r="B159" s="10" t="s">
        <v>23</v>
      </c>
      <c r="C159" s="2" t="s">
        <v>46</v>
      </c>
      <c r="D159" s="14">
        <v>8.1072000000000006</v>
      </c>
    </row>
    <row r="160" spans="1:4" x14ac:dyDescent="0.45">
      <c r="A160" s="13">
        <v>2027</v>
      </c>
      <c r="B160" s="10" t="s">
        <v>23</v>
      </c>
      <c r="C160" s="2" t="s">
        <v>46</v>
      </c>
      <c r="D160" s="14">
        <v>9.729000000000001</v>
      </c>
    </row>
    <row r="161" spans="1:4" x14ac:dyDescent="0.45">
      <c r="A161" s="13">
        <v>2028</v>
      </c>
      <c r="B161" s="10" t="s">
        <v>23</v>
      </c>
      <c r="C161" s="2" t="s">
        <v>46</v>
      </c>
      <c r="D161" s="14">
        <v>11.674800000000001</v>
      </c>
    </row>
    <row r="162" spans="1:4" x14ac:dyDescent="0.45">
      <c r="A162" s="13">
        <v>2029</v>
      </c>
      <c r="B162" s="10" t="s">
        <v>23</v>
      </c>
      <c r="C162" s="2" t="s">
        <v>46</v>
      </c>
      <c r="D162" s="14">
        <v>14.009399999999999</v>
      </c>
    </row>
    <row r="163" spans="1:4" x14ac:dyDescent="0.45">
      <c r="A163" s="13">
        <v>2030</v>
      </c>
      <c r="B163" s="10" t="s">
        <v>23</v>
      </c>
      <c r="C163" s="2" t="s">
        <v>46</v>
      </c>
      <c r="D163" s="14">
        <v>16.8111</v>
      </c>
    </row>
    <row r="164" spans="1:4" x14ac:dyDescent="0.45">
      <c r="A164" s="13">
        <v>2022</v>
      </c>
      <c r="B164" s="10" t="s">
        <v>23</v>
      </c>
      <c r="C164" s="2" t="s">
        <v>47</v>
      </c>
      <c r="D164" s="14">
        <v>1.5</v>
      </c>
    </row>
    <row r="165" spans="1:4" x14ac:dyDescent="0.45">
      <c r="A165" s="13">
        <v>2023</v>
      </c>
      <c r="B165" s="10" t="s">
        <v>23</v>
      </c>
      <c r="C165" s="2" t="s">
        <v>47</v>
      </c>
      <c r="D165" s="14">
        <v>2.008</v>
      </c>
    </row>
    <row r="166" spans="1:4" x14ac:dyDescent="0.45">
      <c r="A166" s="13">
        <v>2024</v>
      </c>
      <c r="B166" s="10" t="s">
        <v>23</v>
      </c>
      <c r="C166" s="2" t="s">
        <v>47</v>
      </c>
      <c r="D166" s="14">
        <v>2.085</v>
      </c>
    </row>
    <row r="167" spans="1:4" x14ac:dyDescent="0.45">
      <c r="A167" s="13">
        <v>2025</v>
      </c>
      <c r="B167" s="10" t="s">
        <v>23</v>
      </c>
      <c r="C167" s="2" t="s">
        <v>47</v>
      </c>
      <c r="D167" s="14">
        <v>2.1581999999999999</v>
      </c>
    </row>
    <row r="168" spans="1:4" x14ac:dyDescent="0.45">
      <c r="A168" s="13">
        <v>2026</v>
      </c>
      <c r="B168" s="10" t="s">
        <v>23</v>
      </c>
      <c r="C168" s="2" t="s">
        <v>47</v>
      </c>
      <c r="D168" s="14">
        <v>2.4821999999999997</v>
      </c>
    </row>
    <row r="169" spans="1:4" x14ac:dyDescent="0.45">
      <c r="A169" s="13">
        <v>2027</v>
      </c>
      <c r="B169" s="10" t="s">
        <v>23</v>
      </c>
      <c r="C169" s="2" t="s">
        <v>47</v>
      </c>
      <c r="D169" s="14">
        <v>2.8548</v>
      </c>
    </row>
    <row r="170" spans="1:4" x14ac:dyDescent="0.45">
      <c r="A170" s="13">
        <v>2028</v>
      </c>
      <c r="B170" s="10" t="s">
        <v>23</v>
      </c>
      <c r="C170" s="2" t="s">
        <v>47</v>
      </c>
      <c r="D170" s="14">
        <v>3.2831999999999999</v>
      </c>
    </row>
    <row r="171" spans="1:4" x14ac:dyDescent="0.45">
      <c r="A171" s="13">
        <v>2029</v>
      </c>
      <c r="B171" s="10" t="s">
        <v>23</v>
      </c>
      <c r="C171" s="2" t="s">
        <v>47</v>
      </c>
      <c r="D171" s="14">
        <v>3.7755000000000001</v>
      </c>
    </row>
    <row r="172" spans="1:4" x14ac:dyDescent="0.45">
      <c r="A172" s="13">
        <v>2030</v>
      </c>
      <c r="B172" s="10" t="s">
        <v>23</v>
      </c>
      <c r="C172" s="2" t="s">
        <v>47</v>
      </c>
      <c r="D172" s="14">
        <v>4.3415999999999997</v>
      </c>
    </row>
    <row r="173" spans="1:4" x14ac:dyDescent="0.45">
      <c r="A173" s="13">
        <v>2022</v>
      </c>
      <c r="B173" s="10" t="s">
        <v>23</v>
      </c>
      <c r="C173" s="2" t="s">
        <v>48</v>
      </c>
      <c r="D173" s="14">
        <v>9.2639999999999993</v>
      </c>
    </row>
    <row r="174" spans="1:4" x14ac:dyDescent="0.45">
      <c r="A174" s="13">
        <v>2023</v>
      </c>
      <c r="B174" s="10" t="s">
        <v>23</v>
      </c>
      <c r="C174" s="2" t="s">
        <v>48</v>
      </c>
      <c r="D174" s="14">
        <v>8.782</v>
      </c>
    </row>
    <row r="175" spans="1:4" x14ac:dyDescent="0.45">
      <c r="A175" s="13">
        <v>2024</v>
      </c>
      <c r="B175" s="10" t="s">
        <v>23</v>
      </c>
      <c r="C175" s="2" t="s">
        <v>48</v>
      </c>
      <c r="D175" s="14">
        <v>10.115</v>
      </c>
    </row>
    <row r="176" spans="1:4" x14ac:dyDescent="0.45">
      <c r="A176" s="13">
        <v>2025</v>
      </c>
      <c r="B176" s="10" t="s">
        <v>23</v>
      </c>
      <c r="C176" s="2" t="s">
        <v>48</v>
      </c>
      <c r="D176" s="14">
        <v>9.6858000000000004</v>
      </c>
    </row>
    <row r="177" spans="1:4" x14ac:dyDescent="0.45">
      <c r="A177" s="13">
        <v>2026</v>
      </c>
      <c r="B177" s="10" t="s">
        <v>23</v>
      </c>
      <c r="C177" s="2" t="s">
        <v>48</v>
      </c>
      <c r="D177" s="14">
        <v>10.305899999999999</v>
      </c>
    </row>
    <row r="178" spans="1:4" x14ac:dyDescent="0.45">
      <c r="A178" s="13">
        <v>2027</v>
      </c>
      <c r="B178" s="10" t="s">
        <v>23</v>
      </c>
      <c r="C178" s="2" t="s">
        <v>48</v>
      </c>
      <c r="D178" s="14">
        <v>10.9656</v>
      </c>
    </row>
    <row r="179" spans="1:4" x14ac:dyDescent="0.45">
      <c r="A179" s="13">
        <v>2028</v>
      </c>
      <c r="B179" s="10" t="s">
        <v>23</v>
      </c>
      <c r="C179" s="2" t="s">
        <v>48</v>
      </c>
      <c r="D179" s="14">
        <v>11.6676</v>
      </c>
    </row>
    <row r="180" spans="1:4" x14ac:dyDescent="0.45">
      <c r="A180" s="13">
        <v>2029</v>
      </c>
      <c r="B180" s="10" t="s">
        <v>23</v>
      </c>
      <c r="C180" s="2" t="s">
        <v>48</v>
      </c>
      <c r="D180" s="14">
        <v>12.4146</v>
      </c>
    </row>
    <row r="181" spans="1:4" x14ac:dyDescent="0.45">
      <c r="A181" s="13">
        <v>2030</v>
      </c>
      <c r="B181" s="10" t="s">
        <v>23</v>
      </c>
      <c r="C181" s="2" t="s">
        <v>48</v>
      </c>
      <c r="D181" s="14">
        <v>13.209299999999999</v>
      </c>
    </row>
    <row r="182" spans="1:4" x14ac:dyDescent="0.45">
      <c r="A182" s="13">
        <v>2022</v>
      </c>
      <c r="B182" s="10" t="s">
        <v>23</v>
      </c>
      <c r="C182" s="2" t="s">
        <v>49</v>
      </c>
      <c r="D182" s="14">
        <v>81.462000000000003</v>
      </c>
    </row>
    <row r="183" spans="1:4" x14ac:dyDescent="0.45">
      <c r="A183" s="13">
        <v>2023</v>
      </c>
      <c r="B183" s="10" t="s">
        <v>23</v>
      </c>
      <c r="C183" s="2" t="s">
        <v>49</v>
      </c>
      <c r="D183" s="14">
        <v>96.772999999999996</v>
      </c>
    </row>
    <row r="184" spans="1:4" x14ac:dyDescent="0.45">
      <c r="A184" s="13">
        <v>2024</v>
      </c>
      <c r="B184" s="10" t="s">
        <v>23</v>
      </c>
      <c r="C184" s="2" t="s">
        <v>49</v>
      </c>
      <c r="D184" s="14">
        <v>97.69</v>
      </c>
    </row>
    <row r="185" spans="1:4" x14ac:dyDescent="0.45">
      <c r="A185" s="13">
        <v>2025</v>
      </c>
      <c r="B185" s="10" t="s">
        <v>23</v>
      </c>
      <c r="C185" s="2" t="s">
        <v>49</v>
      </c>
      <c r="D185" s="14">
        <v>96.952499999999986</v>
      </c>
    </row>
    <row r="186" spans="1:4" x14ac:dyDescent="0.45">
      <c r="A186" s="13">
        <v>2026</v>
      </c>
      <c r="B186" s="10" t="s">
        <v>23</v>
      </c>
      <c r="C186" s="2" t="s">
        <v>49</v>
      </c>
      <c r="D186" s="14">
        <v>111.01769999999999</v>
      </c>
    </row>
    <row r="187" spans="1:4" x14ac:dyDescent="0.45">
      <c r="A187" s="13">
        <v>2027</v>
      </c>
      <c r="B187" s="10" t="s">
        <v>23</v>
      </c>
      <c r="C187" s="2" t="s">
        <v>49</v>
      </c>
      <c r="D187" s="14">
        <v>131.44139999999999</v>
      </c>
    </row>
    <row r="188" spans="1:4" x14ac:dyDescent="0.45">
      <c r="A188" s="13">
        <v>2028</v>
      </c>
      <c r="B188" s="10" t="s">
        <v>23</v>
      </c>
      <c r="C188" s="2" t="s">
        <v>49</v>
      </c>
      <c r="D188" s="14">
        <v>167.51250000000002</v>
      </c>
    </row>
    <row r="189" spans="1:4" x14ac:dyDescent="0.45">
      <c r="A189" s="13">
        <v>2029</v>
      </c>
      <c r="B189" s="10" t="s">
        <v>23</v>
      </c>
      <c r="C189" s="2" t="s">
        <v>49</v>
      </c>
      <c r="D189" s="14">
        <v>210.98250000000002</v>
      </c>
    </row>
    <row r="190" spans="1:4" x14ac:dyDescent="0.45">
      <c r="A190" s="13">
        <v>2030</v>
      </c>
      <c r="B190" s="10" t="s">
        <v>23</v>
      </c>
      <c r="C190" s="2" t="s">
        <v>49</v>
      </c>
      <c r="D190" s="14">
        <v>263.41109999999998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8EC85-340A-4345-B113-D2EFDAA9FDDA}">
  <dimension ref="A1:H28"/>
  <sheetViews>
    <sheetView tabSelected="1" workbookViewId="0">
      <selection activeCell="I17" sqref="I17"/>
    </sheetView>
  </sheetViews>
  <sheetFormatPr defaultRowHeight="14.25" x14ac:dyDescent="0.45"/>
  <cols>
    <col min="2" max="2" width="10.796875" bestFit="1" customWidth="1"/>
    <col min="3" max="5" width="15.1328125" customWidth="1"/>
  </cols>
  <sheetData>
    <row r="1" spans="1:8" s="19" customFormat="1" ht="37.25" customHeight="1" x14ac:dyDescent="0.45">
      <c r="A1" s="15" t="s">
        <v>33</v>
      </c>
      <c r="B1" s="15" t="s">
        <v>32</v>
      </c>
      <c r="C1" s="15" t="s">
        <v>55</v>
      </c>
      <c r="D1" s="15" t="s">
        <v>56</v>
      </c>
      <c r="E1" s="15" t="s">
        <v>57</v>
      </c>
      <c r="F1" s="15" t="s">
        <v>30</v>
      </c>
    </row>
    <row r="2" spans="1:8" x14ac:dyDescent="0.45">
      <c r="A2" s="10" t="s">
        <v>2</v>
      </c>
      <c r="B2" s="10" t="s">
        <v>24</v>
      </c>
      <c r="C2" s="16">
        <v>81.462000000000003</v>
      </c>
      <c r="D2" s="16">
        <v>0</v>
      </c>
      <c r="E2" s="16">
        <f>C2+D2</f>
        <v>81.462000000000003</v>
      </c>
      <c r="F2" s="10" t="s">
        <v>3</v>
      </c>
      <c r="G2" s="5"/>
      <c r="H2" s="5"/>
    </row>
    <row r="3" spans="1:8" x14ac:dyDescent="0.45">
      <c r="A3" s="10" t="s">
        <v>4</v>
      </c>
      <c r="B3" s="10" t="s">
        <v>24</v>
      </c>
      <c r="C3" s="16">
        <v>96.772999999999996</v>
      </c>
      <c r="D3" s="16">
        <v>0</v>
      </c>
      <c r="E3" s="16">
        <f t="shared" ref="E3:E28" si="0">C3+D3</f>
        <v>96.772999999999996</v>
      </c>
      <c r="F3" s="25">
        <v>0.188</v>
      </c>
      <c r="G3" s="5"/>
      <c r="H3" s="5"/>
    </row>
    <row r="4" spans="1:8" x14ac:dyDescent="0.45">
      <c r="A4" s="10" t="s">
        <v>5</v>
      </c>
      <c r="B4" s="10" t="s">
        <v>24</v>
      </c>
      <c r="C4" s="16">
        <v>97.69</v>
      </c>
      <c r="D4" s="16">
        <v>0</v>
      </c>
      <c r="E4" s="16">
        <f t="shared" si="0"/>
        <v>97.69</v>
      </c>
      <c r="F4" s="25">
        <v>8.9999999999999993E-3</v>
      </c>
      <c r="G4" s="5"/>
      <c r="H4" s="5"/>
    </row>
    <row r="5" spans="1:8" x14ac:dyDescent="0.45">
      <c r="A5" s="10" t="s">
        <v>6</v>
      </c>
      <c r="B5" s="10" t="s">
        <v>24</v>
      </c>
      <c r="C5" s="16">
        <v>107.72499999999999</v>
      </c>
      <c r="D5" s="16">
        <v>0</v>
      </c>
      <c r="E5" s="16">
        <f t="shared" si="0"/>
        <v>107.72499999999999</v>
      </c>
      <c r="F5" s="25">
        <v>0.10299999999999999</v>
      </c>
      <c r="G5" s="5"/>
      <c r="H5" s="5"/>
    </row>
    <row r="6" spans="1:8" x14ac:dyDescent="0.45">
      <c r="A6" s="10" t="s">
        <v>7</v>
      </c>
      <c r="B6" s="10" t="s">
        <v>24</v>
      </c>
      <c r="C6" s="16">
        <v>123.053</v>
      </c>
      <c r="D6" s="16">
        <v>0.3</v>
      </c>
      <c r="E6" s="16">
        <f t="shared" si="0"/>
        <v>123.35299999999999</v>
      </c>
      <c r="F6" s="25">
        <v>0.14499999999999999</v>
      </c>
      <c r="G6" s="5"/>
      <c r="H6" s="5"/>
    </row>
    <row r="7" spans="1:8" x14ac:dyDescent="0.45">
      <c r="A7" s="10" t="s">
        <v>8</v>
      </c>
      <c r="B7" s="10" t="s">
        <v>24</v>
      </c>
      <c r="C7" s="16">
        <v>143.54599999999999</v>
      </c>
      <c r="D7" s="16">
        <v>2.5</v>
      </c>
      <c r="E7" s="16">
        <f t="shared" si="0"/>
        <v>146.04599999999999</v>
      </c>
      <c r="F7" s="25">
        <v>0.184</v>
      </c>
      <c r="G7" s="5"/>
      <c r="H7" s="5"/>
    </row>
    <row r="8" spans="1:8" x14ac:dyDescent="0.45">
      <c r="A8" s="10" t="s">
        <v>9</v>
      </c>
      <c r="B8" s="10" t="s">
        <v>24</v>
      </c>
      <c r="C8" s="16">
        <v>169.125</v>
      </c>
      <c r="D8" s="16">
        <v>17</v>
      </c>
      <c r="E8" s="16">
        <f t="shared" si="0"/>
        <v>186.125</v>
      </c>
      <c r="F8" s="25">
        <v>0.27400000000000002</v>
      </c>
      <c r="G8" s="5"/>
      <c r="H8" s="5"/>
    </row>
    <row r="9" spans="1:8" x14ac:dyDescent="0.45">
      <c r="A9" s="10" t="s">
        <v>10</v>
      </c>
      <c r="B9" s="10" t="s">
        <v>24</v>
      </c>
      <c r="C9" s="16">
        <v>201.42500000000001</v>
      </c>
      <c r="D9" s="16">
        <v>33</v>
      </c>
      <c r="E9" s="16">
        <f t="shared" si="0"/>
        <v>234.42500000000001</v>
      </c>
      <c r="F9" s="25">
        <v>0.26</v>
      </c>
      <c r="G9" s="5"/>
      <c r="H9" s="5"/>
    </row>
    <row r="10" spans="1:8" x14ac:dyDescent="0.45">
      <c r="A10" s="10" t="s">
        <v>11</v>
      </c>
      <c r="B10" s="10" t="s">
        <v>24</v>
      </c>
      <c r="C10" s="16">
        <v>242.679</v>
      </c>
      <c r="D10" s="16">
        <v>50</v>
      </c>
      <c r="E10" s="16">
        <f t="shared" si="0"/>
        <v>292.67899999999997</v>
      </c>
      <c r="F10" s="25">
        <v>0.248</v>
      </c>
      <c r="G10" s="5"/>
      <c r="H10" s="5"/>
    </row>
    <row r="11" spans="1:8" x14ac:dyDescent="0.45">
      <c r="A11" s="10" t="s">
        <v>2</v>
      </c>
      <c r="B11" s="10" t="s">
        <v>25</v>
      </c>
      <c r="C11" s="16">
        <v>81.462000000000003</v>
      </c>
      <c r="D11" s="16">
        <v>0</v>
      </c>
      <c r="E11" s="16">
        <f t="shared" si="0"/>
        <v>81.462000000000003</v>
      </c>
      <c r="F11" s="25" t="s">
        <v>3</v>
      </c>
      <c r="G11" s="5"/>
      <c r="H11" s="5"/>
    </row>
    <row r="12" spans="1:8" x14ac:dyDescent="0.45">
      <c r="A12" s="10" t="s">
        <v>4</v>
      </c>
      <c r="B12" s="10" t="s">
        <v>25</v>
      </c>
      <c r="C12" s="16">
        <v>96.772999999999996</v>
      </c>
      <c r="D12" s="16">
        <v>0</v>
      </c>
      <c r="E12" s="16">
        <f t="shared" si="0"/>
        <v>96.772999999999996</v>
      </c>
      <c r="F12" s="25">
        <v>0.188</v>
      </c>
      <c r="G12" s="5"/>
      <c r="H12" s="5"/>
    </row>
    <row r="13" spans="1:8" x14ac:dyDescent="0.45">
      <c r="A13" s="10" t="s">
        <v>5</v>
      </c>
      <c r="B13" s="10" t="s">
        <v>25</v>
      </c>
      <c r="C13" s="16">
        <v>97.69</v>
      </c>
      <c r="D13" s="16">
        <v>0</v>
      </c>
      <c r="E13" s="16">
        <f t="shared" si="0"/>
        <v>97.69</v>
      </c>
      <c r="F13" s="25">
        <v>8.9999999999999993E-3</v>
      </c>
      <c r="G13" s="5"/>
      <c r="H13" s="5"/>
    </row>
    <row r="14" spans="1:8" x14ac:dyDescent="0.45">
      <c r="A14" s="10" t="s">
        <v>6</v>
      </c>
      <c r="B14" s="10" t="s">
        <v>25</v>
      </c>
      <c r="C14" s="16">
        <v>123.88375000000001</v>
      </c>
      <c r="D14" s="16">
        <v>0</v>
      </c>
      <c r="E14" s="16">
        <f t="shared" si="0"/>
        <v>123.88375000000001</v>
      </c>
      <c r="F14" s="25">
        <v>0.10299999999999999</v>
      </c>
      <c r="G14" s="5"/>
      <c r="H14" s="5"/>
    </row>
    <row r="15" spans="1:8" x14ac:dyDescent="0.45">
      <c r="A15" s="10" t="s">
        <v>7</v>
      </c>
      <c r="B15" s="10" t="s">
        <v>25</v>
      </c>
      <c r="C15" s="16">
        <v>141.51095000000001</v>
      </c>
      <c r="D15" s="16">
        <v>0.34500000000000003</v>
      </c>
      <c r="E15" s="16">
        <f t="shared" si="0"/>
        <v>141.85595000000001</v>
      </c>
      <c r="F15" s="25">
        <v>0.14499999999999999</v>
      </c>
      <c r="G15" s="5"/>
      <c r="H15" s="5"/>
    </row>
    <row r="16" spans="1:8" x14ac:dyDescent="0.45">
      <c r="A16" s="10" t="s">
        <v>8</v>
      </c>
      <c r="B16" s="10" t="s">
        <v>25</v>
      </c>
      <c r="C16" s="16">
        <v>165.0779</v>
      </c>
      <c r="D16" s="16">
        <v>2.875</v>
      </c>
      <c r="E16" s="16">
        <f t="shared" si="0"/>
        <v>167.9529</v>
      </c>
      <c r="F16" s="25">
        <v>0.184</v>
      </c>
      <c r="G16" s="5"/>
      <c r="H16" s="5"/>
    </row>
    <row r="17" spans="1:8" x14ac:dyDescent="0.45">
      <c r="A17" s="10" t="s">
        <v>9</v>
      </c>
      <c r="B17" s="10" t="s">
        <v>25</v>
      </c>
      <c r="C17" s="16">
        <v>194.49375000000001</v>
      </c>
      <c r="D17" s="16">
        <v>19.55</v>
      </c>
      <c r="E17" s="16">
        <f t="shared" si="0"/>
        <v>214.04375000000002</v>
      </c>
      <c r="F17" s="25">
        <v>0.27400000000000002</v>
      </c>
      <c r="G17" s="5"/>
      <c r="H17" s="5"/>
    </row>
    <row r="18" spans="1:8" x14ac:dyDescent="0.45">
      <c r="A18" s="10" t="s">
        <v>10</v>
      </c>
      <c r="B18" s="10" t="s">
        <v>25</v>
      </c>
      <c r="C18" s="16">
        <v>231.63874999999999</v>
      </c>
      <c r="D18" s="16">
        <v>37.949999999999989</v>
      </c>
      <c r="E18" s="16">
        <f t="shared" si="0"/>
        <v>269.58875</v>
      </c>
      <c r="F18" s="25">
        <v>0.26</v>
      </c>
      <c r="G18" s="5"/>
      <c r="H18" s="5"/>
    </row>
    <row r="19" spans="1:8" x14ac:dyDescent="0.45">
      <c r="A19" s="10" t="s">
        <v>11</v>
      </c>
      <c r="B19" s="10" t="s">
        <v>25</v>
      </c>
      <c r="C19" s="16">
        <v>279.08085</v>
      </c>
      <c r="D19" s="16">
        <v>57.5</v>
      </c>
      <c r="E19" s="16">
        <f t="shared" si="0"/>
        <v>336.58085</v>
      </c>
      <c r="F19" s="25">
        <v>0.248</v>
      </c>
      <c r="G19" s="5"/>
      <c r="H19" s="5"/>
    </row>
    <row r="20" spans="1:8" x14ac:dyDescent="0.45">
      <c r="A20" s="10" t="s">
        <v>2</v>
      </c>
      <c r="B20" s="10" t="s">
        <v>23</v>
      </c>
      <c r="C20" s="16">
        <v>81.462000000000003</v>
      </c>
      <c r="D20" s="16">
        <v>0</v>
      </c>
      <c r="E20" s="16">
        <f t="shared" si="0"/>
        <v>81.462000000000003</v>
      </c>
      <c r="F20" s="25" t="s">
        <v>3</v>
      </c>
      <c r="G20" s="5"/>
      <c r="H20" s="5"/>
    </row>
    <row r="21" spans="1:8" x14ac:dyDescent="0.45">
      <c r="A21" s="10" t="s">
        <v>4</v>
      </c>
      <c r="B21" s="10" t="s">
        <v>23</v>
      </c>
      <c r="C21" s="16">
        <v>96.772999999999996</v>
      </c>
      <c r="D21" s="16">
        <v>0</v>
      </c>
      <c r="E21" s="16">
        <f t="shared" si="0"/>
        <v>96.772999999999996</v>
      </c>
      <c r="F21" s="25">
        <v>0.188</v>
      </c>
      <c r="G21" s="5"/>
      <c r="H21" s="5"/>
    </row>
    <row r="22" spans="1:8" x14ac:dyDescent="0.45">
      <c r="A22" s="10" t="s">
        <v>5</v>
      </c>
      <c r="B22" s="10" t="s">
        <v>23</v>
      </c>
      <c r="C22" s="16">
        <v>97.69</v>
      </c>
      <c r="D22" s="16">
        <v>0</v>
      </c>
      <c r="E22" s="16">
        <f t="shared" si="0"/>
        <v>97.69</v>
      </c>
      <c r="F22" s="25">
        <v>8.9999999999999993E-3</v>
      </c>
      <c r="G22" s="5"/>
      <c r="H22" s="5"/>
    </row>
    <row r="23" spans="1:8" x14ac:dyDescent="0.45">
      <c r="A23" s="10" t="s">
        <v>6</v>
      </c>
      <c r="B23" s="10" t="s">
        <v>23</v>
      </c>
      <c r="C23" s="16">
        <v>96.952500000000001</v>
      </c>
      <c r="D23" s="16">
        <v>0</v>
      </c>
      <c r="E23" s="16">
        <f t="shared" si="0"/>
        <v>96.952500000000001</v>
      </c>
      <c r="F23" s="25">
        <v>0.10299999999999999</v>
      </c>
      <c r="G23" s="5"/>
      <c r="H23" s="5"/>
    </row>
    <row r="24" spans="1:8" x14ac:dyDescent="0.45">
      <c r="A24" s="10" t="s">
        <v>7</v>
      </c>
      <c r="B24" s="10" t="s">
        <v>23</v>
      </c>
      <c r="C24" s="16">
        <v>110.74770000000001</v>
      </c>
      <c r="D24" s="16">
        <v>0.27</v>
      </c>
      <c r="E24" s="16">
        <f t="shared" si="0"/>
        <v>111.0177</v>
      </c>
      <c r="F24" s="25">
        <v>0.14499999999999999</v>
      </c>
      <c r="G24" s="5"/>
      <c r="H24" s="5"/>
    </row>
    <row r="25" spans="1:8" x14ac:dyDescent="0.45">
      <c r="A25" s="10" t="s">
        <v>8</v>
      </c>
      <c r="B25" s="10" t="s">
        <v>23</v>
      </c>
      <c r="C25" s="16">
        <v>129.19139999999999</v>
      </c>
      <c r="D25" s="16">
        <v>2.25</v>
      </c>
      <c r="E25" s="16">
        <f t="shared" si="0"/>
        <v>131.44139999999999</v>
      </c>
      <c r="F25" s="25">
        <v>0.184</v>
      </c>
      <c r="G25" s="5"/>
      <c r="H25" s="5"/>
    </row>
    <row r="26" spans="1:8" x14ac:dyDescent="0.45">
      <c r="A26" s="10" t="s">
        <v>9</v>
      </c>
      <c r="B26" s="10" t="s">
        <v>23</v>
      </c>
      <c r="C26" s="16">
        <v>152.21250000000001</v>
      </c>
      <c r="D26" s="16">
        <v>15.3</v>
      </c>
      <c r="E26" s="16">
        <f t="shared" si="0"/>
        <v>167.51250000000002</v>
      </c>
      <c r="F26" s="25">
        <v>0.27400000000000002</v>
      </c>
      <c r="G26" s="5"/>
      <c r="H26" s="5"/>
    </row>
    <row r="27" spans="1:8" x14ac:dyDescent="0.45">
      <c r="A27" s="10" t="s">
        <v>10</v>
      </c>
      <c r="B27" s="10" t="s">
        <v>23</v>
      </c>
      <c r="C27" s="16">
        <v>181.2825</v>
      </c>
      <c r="D27" s="16">
        <v>29.7</v>
      </c>
      <c r="E27" s="16">
        <f t="shared" si="0"/>
        <v>210.98249999999999</v>
      </c>
      <c r="F27" s="25">
        <v>0.26</v>
      </c>
      <c r="G27" s="5"/>
      <c r="H27" s="5"/>
    </row>
    <row r="28" spans="1:8" x14ac:dyDescent="0.45">
      <c r="A28" s="10" t="s">
        <v>11</v>
      </c>
      <c r="B28" s="10" t="s">
        <v>23</v>
      </c>
      <c r="C28" s="16">
        <v>218.41109999999998</v>
      </c>
      <c r="D28" s="16">
        <v>45</v>
      </c>
      <c r="E28" s="16">
        <f t="shared" si="0"/>
        <v>263.41109999999998</v>
      </c>
      <c r="F28" s="25">
        <v>0.248</v>
      </c>
      <c r="G28" s="5"/>
      <c r="H28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D4D1B-3ECE-4B68-A9F7-9A991FBE60F5}">
  <dimension ref="A1:J13"/>
  <sheetViews>
    <sheetView workbookViewId="0">
      <selection activeCell="H1" sqref="H1"/>
    </sheetView>
  </sheetViews>
  <sheetFormatPr defaultRowHeight="14.25" x14ac:dyDescent="0.45"/>
  <cols>
    <col min="1" max="1" width="24.19921875" customWidth="1"/>
    <col min="2" max="2" width="12.796875" customWidth="1"/>
    <col min="3" max="3" width="15.46484375" customWidth="1"/>
    <col min="4" max="10" width="13.9296875" customWidth="1"/>
  </cols>
  <sheetData>
    <row r="1" spans="1:10" ht="28.5" x14ac:dyDescent="0.45">
      <c r="A1" s="9" t="s">
        <v>54</v>
      </c>
      <c r="B1" s="9" t="s">
        <v>32</v>
      </c>
      <c r="C1" s="9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ht="30" customHeight="1" x14ac:dyDescent="0.45">
      <c r="A2" s="11" t="s">
        <v>50</v>
      </c>
      <c r="B2" s="23" t="s">
        <v>24</v>
      </c>
      <c r="C2" s="11" t="s">
        <v>20</v>
      </c>
      <c r="D2" s="22">
        <f>(H2/F2)^(1/6)-1</f>
        <v>0.20066976781865087</v>
      </c>
      <c r="E2" s="2">
        <v>2024</v>
      </c>
      <c r="F2" s="24">
        <v>97.69</v>
      </c>
      <c r="G2" s="2">
        <v>2030</v>
      </c>
      <c r="H2" s="24">
        <v>292.67899999999997</v>
      </c>
      <c r="I2" s="24">
        <v>282.90999999999997</v>
      </c>
      <c r="J2" s="3">
        <f>I2/F2</f>
        <v>2.8959975432490528</v>
      </c>
    </row>
    <row r="3" spans="1:10" ht="30" customHeight="1" x14ac:dyDescent="0.45">
      <c r="A3" s="11" t="s">
        <v>50</v>
      </c>
      <c r="B3" s="23" t="s">
        <v>23</v>
      </c>
      <c r="C3" s="11" t="s">
        <v>20</v>
      </c>
      <c r="D3" s="22">
        <f t="shared" ref="D3:D7" si="0">(H3/F3)^(1/6)-1</f>
        <v>0.17976994192329565</v>
      </c>
      <c r="E3" s="2">
        <v>2024</v>
      </c>
      <c r="F3" s="24">
        <v>97.69</v>
      </c>
      <c r="G3" s="2">
        <v>2030</v>
      </c>
      <c r="H3" s="24">
        <v>263.41109999999998</v>
      </c>
      <c r="I3" s="24">
        <v>253.64209999999997</v>
      </c>
      <c r="J3" s="3">
        <f t="shared" ref="J3:J4" si="1">I3/F3</f>
        <v>2.5963977889241474</v>
      </c>
    </row>
    <row r="4" spans="1:10" ht="30" customHeight="1" x14ac:dyDescent="0.45">
      <c r="A4" s="11" t="s">
        <v>50</v>
      </c>
      <c r="B4" s="23" t="s">
        <v>25</v>
      </c>
      <c r="C4" s="11" t="s">
        <v>20</v>
      </c>
      <c r="D4" s="22">
        <f t="shared" si="0"/>
        <v>0.22896604002757992</v>
      </c>
      <c r="E4" s="2">
        <v>2024</v>
      </c>
      <c r="F4" s="24">
        <v>97.69</v>
      </c>
      <c r="G4" s="2">
        <v>2030</v>
      </c>
      <c r="H4" s="24">
        <v>336.58085000000005</v>
      </c>
      <c r="I4" s="24">
        <v>326.81185000000005</v>
      </c>
      <c r="J4" s="3">
        <f t="shared" si="1"/>
        <v>3.3453971747364117</v>
      </c>
    </row>
    <row r="5" spans="1:10" ht="30" customHeight="1" x14ac:dyDescent="0.45">
      <c r="A5" s="11" t="s">
        <v>51</v>
      </c>
      <c r="B5" s="23" t="s">
        <v>24</v>
      </c>
      <c r="C5" s="11" t="s">
        <v>20</v>
      </c>
      <c r="D5" s="22">
        <f t="shared" si="0"/>
        <v>0.16376068426191503</v>
      </c>
      <c r="E5" s="2">
        <v>2024</v>
      </c>
      <c r="F5" s="24">
        <v>97.69</v>
      </c>
      <c r="G5" s="2">
        <v>2030</v>
      </c>
      <c r="H5" s="24">
        <v>242.679</v>
      </c>
      <c r="I5" s="24">
        <v>144.989</v>
      </c>
      <c r="J5" s="3">
        <v>1.48</v>
      </c>
    </row>
    <row r="6" spans="1:10" ht="30" customHeight="1" x14ac:dyDescent="0.45">
      <c r="A6" s="11" t="s">
        <v>51</v>
      </c>
      <c r="B6" s="23" t="s">
        <v>23</v>
      </c>
      <c r="C6" s="11" t="s">
        <v>20</v>
      </c>
      <c r="D6" s="22">
        <f t="shared" si="0"/>
        <v>0.14350332762910689</v>
      </c>
      <c r="E6" s="2">
        <v>2024</v>
      </c>
      <c r="F6" s="24">
        <v>97.69</v>
      </c>
      <c r="G6" s="2">
        <v>2030</v>
      </c>
      <c r="H6" s="24">
        <v>218.41109999999998</v>
      </c>
      <c r="I6" s="24">
        <v>120.72110000000001</v>
      </c>
      <c r="J6" s="3">
        <v>1.24</v>
      </c>
    </row>
    <row r="7" spans="1:10" ht="30" customHeight="1" x14ac:dyDescent="0.45">
      <c r="A7" s="11" t="s">
        <v>51</v>
      </c>
      <c r="B7" s="23" t="s">
        <v>25</v>
      </c>
      <c r="C7" s="11" t="s">
        <v>20</v>
      </c>
      <c r="D7" s="22">
        <f t="shared" si="0"/>
        <v>0.19118708183117761</v>
      </c>
      <c r="E7" s="2">
        <v>2024</v>
      </c>
      <c r="F7" s="24">
        <v>97.69</v>
      </c>
      <c r="G7" s="2">
        <v>2030</v>
      </c>
      <c r="H7" s="24">
        <v>279.08080000000001</v>
      </c>
      <c r="I7" s="24">
        <v>181.39079999999998</v>
      </c>
      <c r="J7" s="3">
        <v>1.86</v>
      </c>
    </row>
    <row r="8" spans="1:10" ht="30" customHeight="1" x14ac:dyDescent="0.45">
      <c r="A8" s="11" t="s">
        <v>52</v>
      </c>
      <c r="B8" s="23" t="s">
        <v>24</v>
      </c>
      <c r="C8" s="11" t="s">
        <v>21</v>
      </c>
      <c r="D8" s="22">
        <f>(H8/F8)^(1/3)-1</f>
        <v>1.7144176165949063</v>
      </c>
      <c r="E8" s="2">
        <v>2027</v>
      </c>
      <c r="F8" s="24">
        <v>2.5</v>
      </c>
      <c r="G8" s="2">
        <v>2030</v>
      </c>
      <c r="H8" s="24">
        <v>50</v>
      </c>
      <c r="I8" s="24">
        <v>47.5</v>
      </c>
      <c r="J8" s="3">
        <v>19</v>
      </c>
    </row>
    <row r="9" spans="1:10" ht="30" customHeight="1" x14ac:dyDescent="0.45">
      <c r="A9" s="11" t="s">
        <v>52</v>
      </c>
      <c r="B9" s="23" t="s">
        <v>23</v>
      </c>
      <c r="C9" s="11" t="s">
        <v>21</v>
      </c>
      <c r="D9" s="22">
        <f t="shared" ref="D9:D10" si="2">(H9/F9)^(1/3)-1</f>
        <v>1.7144176165949063</v>
      </c>
      <c r="E9" s="2">
        <v>2027</v>
      </c>
      <c r="F9" s="24">
        <v>2.25</v>
      </c>
      <c r="G9" s="2">
        <v>2030</v>
      </c>
      <c r="H9" s="24">
        <v>45</v>
      </c>
      <c r="I9" s="24">
        <v>42.75</v>
      </c>
      <c r="J9" s="3">
        <v>19</v>
      </c>
    </row>
    <row r="10" spans="1:10" ht="30" customHeight="1" x14ac:dyDescent="0.45">
      <c r="A10" s="11" t="s">
        <v>52</v>
      </c>
      <c r="B10" s="23" t="s">
        <v>25</v>
      </c>
      <c r="C10" s="11" t="s">
        <v>21</v>
      </c>
      <c r="D10" s="22">
        <f t="shared" si="2"/>
        <v>1.7144176165949063</v>
      </c>
      <c r="E10" s="2">
        <v>2027</v>
      </c>
      <c r="F10" s="24">
        <v>2.875</v>
      </c>
      <c r="G10" s="2">
        <v>2030</v>
      </c>
      <c r="H10" s="24">
        <v>57.5</v>
      </c>
      <c r="I10" s="24">
        <v>54.625</v>
      </c>
      <c r="J10" s="3">
        <v>19</v>
      </c>
    </row>
    <row r="11" spans="1:10" ht="30" customHeight="1" x14ac:dyDescent="0.45">
      <c r="A11" s="11" t="s">
        <v>53</v>
      </c>
      <c r="B11" s="23" t="s">
        <v>24</v>
      </c>
      <c r="C11" s="11" t="s">
        <v>20</v>
      </c>
      <c r="D11" s="22">
        <v>1.2006697678186509</v>
      </c>
      <c r="E11" s="2">
        <v>2024</v>
      </c>
      <c r="F11" s="24">
        <v>97.69</v>
      </c>
      <c r="G11" s="2">
        <v>2030</v>
      </c>
      <c r="H11" s="24">
        <v>292.67899999999997</v>
      </c>
      <c r="I11" s="24">
        <v>194.98899999999998</v>
      </c>
      <c r="J11" s="3">
        <v>1.9959975432490531</v>
      </c>
    </row>
    <row r="12" spans="1:10" ht="30" customHeight="1" x14ac:dyDescent="0.45">
      <c r="A12" s="11" t="s">
        <v>53</v>
      </c>
      <c r="B12" s="23" t="s">
        <v>23</v>
      </c>
      <c r="C12" s="11" t="s">
        <v>20</v>
      </c>
      <c r="D12" s="22">
        <v>1.1797699419232957</v>
      </c>
      <c r="E12" s="2">
        <v>2024</v>
      </c>
      <c r="F12" s="24">
        <v>97.69</v>
      </c>
      <c r="G12" s="2">
        <v>2030</v>
      </c>
      <c r="H12" s="24">
        <v>263.41109999999998</v>
      </c>
      <c r="I12" s="24">
        <v>165.72109999999998</v>
      </c>
      <c r="J12" s="3">
        <v>1.6963977889241477</v>
      </c>
    </row>
    <row r="13" spans="1:10" ht="30" customHeight="1" x14ac:dyDescent="0.45">
      <c r="A13" s="11" t="s">
        <v>53</v>
      </c>
      <c r="B13" s="23" t="s">
        <v>25</v>
      </c>
      <c r="C13" s="11" t="s">
        <v>20</v>
      </c>
      <c r="D13" s="22">
        <v>1.2289660400275799</v>
      </c>
      <c r="E13" s="2">
        <v>2024</v>
      </c>
      <c r="F13" s="24">
        <v>97.69</v>
      </c>
      <c r="G13" s="2">
        <v>2030</v>
      </c>
      <c r="H13" s="24">
        <v>336.58085</v>
      </c>
      <c r="I13" s="24">
        <v>238.89085</v>
      </c>
      <c r="J13" s="3">
        <v>2.4453971747364109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All_2030_Business_Structures</vt:lpstr>
      <vt:lpstr>All_New_Business</vt:lpstr>
      <vt:lpstr>All_Traditional Business</vt:lpstr>
      <vt:lpstr>All_Revenue By Regions</vt:lpstr>
      <vt:lpstr>All_Ultimate Combination</vt:lpstr>
      <vt:lpstr>CAGR_Analysis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LBKY</dc:creator>
  <cp:lastModifiedBy>Owen Liu</cp:lastModifiedBy>
  <dcterms:created xsi:type="dcterms:W3CDTF">2015-06-05T18:17:20Z</dcterms:created>
  <dcterms:modified xsi:type="dcterms:W3CDTF">2026-01-23T07:18:36Z</dcterms:modified>
</cp:coreProperties>
</file>