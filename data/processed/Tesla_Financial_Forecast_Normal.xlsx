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CE4E2EEC-3054-4DFD-B521-12A0CBCD6AEB}" xr6:coauthVersionLast="47" xr6:coauthVersionMax="47" xr10:uidLastSave="{00000000-0000-0000-0000-000000000000}"/>
  <bookViews>
    <workbookView xWindow="-98" yWindow="-98" windowWidth="22695" windowHeight="14595" activeTab="3" xr2:uid="{00000000-000D-0000-FFFF-FFFF00000000}"/>
  </bookViews>
  <sheets>
    <sheet name="Income Statement (normal)" sheetId="1" r:id="rId1"/>
    <sheet name="Balance Sheet (normal)" sheetId="2" r:id="rId2"/>
    <sheet name="Cash Flow (normal)" sheetId="3" r:id="rId3"/>
    <sheet name="Financial Ratios (normal)" sheetId="4" r:id="rId4"/>
    <sheet name="Growth Analysis (normal)" sheetId="5" r:id="rId5"/>
    <sheet name="Revenue Details (normal)" sheetId="7" r:id="rId6"/>
    <sheet name="Executive Summary (normal)" sheetId="6" r:id="rId7"/>
  </sheets>
  <calcPr calcId="191029"/>
</workbook>
</file>

<file path=xl/calcChain.xml><?xml version="1.0" encoding="utf-8"?>
<calcChain xmlns="http://schemas.openxmlformats.org/spreadsheetml/2006/main">
  <c r="J6" i="4" l="1"/>
  <c r="K6" i="4"/>
  <c r="J7" i="4"/>
  <c r="K7" i="4"/>
  <c r="J8" i="4"/>
  <c r="K8" i="4"/>
  <c r="J9" i="4"/>
  <c r="K9" i="4"/>
  <c r="J10" i="4"/>
  <c r="K10" i="4"/>
  <c r="K4" i="4"/>
  <c r="K5" i="4"/>
  <c r="K3" i="4"/>
  <c r="J3" i="4"/>
  <c r="J4" i="4"/>
  <c r="J5" i="4"/>
  <c r="I6" i="4"/>
  <c r="I7" i="4"/>
  <c r="I8" i="4"/>
  <c r="I9" i="4"/>
  <c r="I10" i="4"/>
  <c r="I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G5" i="4"/>
  <c r="F5" i="4"/>
  <c r="E5" i="4"/>
  <c r="G6" i="2"/>
  <c r="G7" i="2"/>
  <c r="G8" i="2"/>
  <c r="G9" i="2"/>
  <c r="G10" i="2"/>
  <c r="G5" i="2"/>
</calcChain>
</file>

<file path=xl/sharedStrings.xml><?xml version="1.0" encoding="utf-8"?>
<sst xmlns="http://schemas.openxmlformats.org/spreadsheetml/2006/main" count="120" uniqueCount="84">
  <si>
    <t>Total Revenue</t>
  </si>
  <si>
    <t>Automotive Sales Revenue</t>
  </si>
  <si>
    <t>Automotive Regulatory Credits</t>
  </si>
  <si>
    <t>Automotive Leasing Revenue</t>
  </si>
  <si>
    <t>Energy Revenue</t>
  </si>
  <si>
    <t>Services Revenue</t>
  </si>
  <si>
    <t>Cost of Revenue</t>
  </si>
  <si>
    <t>Gross Profit</t>
  </si>
  <si>
    <t>R&amp;D Expense</t>
  </si>
  <si>
    <t>SG&amp;A Expense</t>
  </si>
  <si>
    <t>Restructuring Expense</t>
  </si>
  <si>
    <t>Total Operating Expenses</t>
  </si>
  <si>
    <t>Operating Income</t>
  </si>
  <si>
    <t>Interest Income</t>
  </si>
  <si>
    <t>Interest Expense</t>
  </si>
  <si>
    <t>Other Income</t>
  </si>
  <si>
    <t>Income Before Taxes</t>
  </si>
  <si>
    <t>Tax Provision</t>
  </si>
  <si>
    <t>Net Income</t>
  </si>
  <si>
    <t>Cash</t>
  </si>
  <si>
    <t>Short Term Investments</t>
  </si>
  <si>
    <t>Accounts Receivable</t>
  </si>
  <si>
    <t>Inventory</t>
  </si>
  <si>
    <t>Prepaid Expenses</t>
  </si>
  <si>
    <t>Total Current Assets</t>
  </si>
  <si>
    <t>PPE Net</t>
  </si>
  <si>
    <t>Total Assets</t>
  </si>
  <si>
    <t>Accounts Payable</t>
  </si>
  <si>
    <t>Accrued Liabilities</t>
  </si>
  <si>
    <t>Deferred Revenue</t>
  </si>
  <si>
    <t>Current Debt</t>
  </si>
  <si>
    <t>Long Term Debt</t>
  </si>
  <si>
    <t>Total Liabilities</t>
  </si>
  <si>
    <t>Total Equity</t>
  </si>
  <si>
    <t>Retained Earnings</t>
  </si>
  <si>
    <t>Depreciation</t>
  </si>
  <si>
    <t>Operating Cash Flow</t>
  </si>
  <si>
    <t>Investing Cash Flow</t>
  </si>
  <si>
    <t>Financing Cash Flow</t>
  </si>
  <si>
    <t>Net Cash Flow</t>
  </si>
  <si>
    <t>Year</t>
  </si>
  <si>
    <t>Gross_Margin</t>
  </si>
  <si>
    <t>Operating_Margin</t>
  </si>
  <si>
    <t>Net_Margin</t>
  </si>
  <si>
    <t>R&amp;D_Ratio</t>
  </si>
  <si>
    <t>SG&amp;A_Ratio</t>
  </si>
  <si>
    <t>Total_OpEx_Ratio</t>
  </si>
  <si>
    <t>Asset_Turnover</t>
  </si>
  <si>
    <t>Inventory_Turnover</t>
  </si>
  <si>
    <t>Debt_to_Assets</t>
  </si>
  <si>
    <t>Debt_to_Equity</t>
  </si>
  <si>
    <t>ROE</t>
  </si>
  <si>
    <t>ROA</t>
  </si>
  <si>
    <t>Revenue_Growth</t>
  </si>
  <si>
    <t>NetIncome_Growth</t>
  </si>
  <si>
    <t>指标</t>
  </si>
  <si>
    <t>数值</t>
  </si>
  <si>
    <t>2024年实际收入（百万美元）</t>
  </si>
  <si>
    <t>$97,690</t>
  </si>
  <si>
    <t>2030年预测收入（百万美元）</t>
  </si>
  <si>
    <t>$292,679</t>
  </si>
  <si>
    <t>6年复合增长率（CAGR）</t>
  </si>
  <si>
    <t>20.1%</t>
  </si>
  <si>
    <t>2024年净利润率</t>
  </si>
  <si>
    <t>7.3%</t>
  </si>
  <si>
    <t>2030年预测净利润率</t>
  </si>
  <si>
    <t>10.8%</t>
  </si>
  <si>
    <t>2024年ROE</t>
  </si>
  <si>
    <t>9.8%</t>
  </si>
  <si>
    <t>2030年预测ROE</t>
  </si>
  <si>
    <t>16.7%</t>
  </si>
  <si>
    <t>2024年总资产（百万美元）</t>
  </si>
  <si>
    <t>$122,070</t>
  </si>
  <si>
    <t>2030年预测总资产（百万美元）</t>
  </si>
  <si>
    <t>$306,007</t>
  </si>
  <si>
    <t>Revenue_Millions</t>
  </si>
  <si>
    <t>Revenue_Billions</t>
  </si>
  <si>
    <t>YoY_Growth</t>
  </si>
  <si>
    <t>2025E</t>
  </si>
  <si>
    <t>2026E</t>
  </si>
  <si>
    <t>2027E</t>
  </si>
  <si>
    <t>2028E</t>
  </si>
  <si>
    <t>2029E</t>
  </si>
  <si>
    <t>2030E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</si>
</sst>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10" fontId="0" fillId="0" borderId="0" xfId="2" applyNumberFormat="1" applyFo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selection activeCell="A3" sqref="A3:XFD3"/>
    </sheetView>
  </sheetViews>
  <sheetFormatPr defaultRowHeight="14.25" x14ac:dyDescent="0.45"/>
  <cols>
    <col min="2" max="2" width="10.59765625" bestFit="1" customWidth="1"/>
    <col min="3" max="3" width="9.59765625" bestFit="1" customWidth="1"/>
    <col min="4" max="5" width="9.1328125" bestFit="1" customWidth="1"/>
    <col min="6" max="7" width="9.59765625" bestFit="1" customWidth="1"/>
    <col min="8" max="8" width="10.59765625" bestFit="1" customWidth="1"/>
    <col min="9" max="11" width="9.59765625" bestFit="1" customWidth="1"/>
    <col min="12" max="12" width="9.1328125" bestFit="1" customWidth="1"/>
    <col min="13" max="14" width="9.59765625" bestFit="1" customWidth="1"/>
    <col min="15" max="15" width="9.1328125" bestFit="1" customWidth="1"/>
    <col min="16" max="16" width="9.19921875" bestFit="1" customWidth="1"/>
    <col min="17" max="17" width="9.1328125" bestFit="1" customWidth="1"/>
    <col min="18" max="18" width="9.59765625" bestFit="1" customWidth="1"/>
    <col min="19" max="19" width="9.19921875" bestFit="1" customWidth="1"/>
    <col min="20" max="20" width="9.59765625" bestFit="1" customWidth="1"/>
  </cols>
  <sheetData>
    <row r="1" spans="1:20" x14ac:dyDescent="0.45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45">
      <c r="A2" s="1">
        <v>2022</v>
      </c>
      <c r="B2" s="2">
        <v>81462</v>
      </c>
      <c r="C2" s="2">
        <v>67210</v>
      </c>
      <c r="D2" s="2">
        <v>1776</v>
      </c>
      <c r="E2" s="2">
        <v>2476</v>
      </c>
      <c r="F2" s="2">
        <v>3909</v>
      </c>
      <c r="G2" s="2">
        <v>6091</v>
      </c>
      <c r="H2" s="2">
        <v>60609</v>
      </c>
      <c r="I2" s="2">
        <v>20853</v>
      </c>
      <c r="J2" s="2">
        <v>3075</v>
      </c>
      <c r="K2" s="2">
        <v>3946</v>
      </c>
      <c r="L2" s="2">
        <v>176</v>
      </c>
      <c r="M2" s="2">
        <v>7197</v>
      </c>
      <c r="N2" s="2">
        <v>13656</v>
      </c>
      <c r="O2" s="2">
        <v>297</v>
      </c>
      <c r="P2" s="2">
        <v>-191</v>
      </c>
      <c r="Q2" s="2">
        <v>-43</v>
      </c>
      <c r="R2" s="2">
        <v>13719</v>
      </c>
      <c r="S2" s="2">
        <v>1132</v>
      </c>
      <c r="T2" s="2">
        <v>12587</v>
      </c>
    </row>
    <row r="3" spans="1:20" x14ac:dyDescent="0.45">
      <c r="A3" s="1">
        <v>2023</v>
      </c>
      <c r="B3" s="2">
        <v>96773</v>
      </c>
      <c r="C3" s="2">
        <v>78509</v>
      </c>
      <c r="D3" s="2">
        <v>1790</v>
      </c>
      <c r="E3" s="2">
        <v>2120</v>
      </c>
      <c r="F3" s="2">
        <v>6035</v>
      </c>
      <c r="G3" s="2">
        <v>8319</v>
      </c>
      <c r="H3" s="2">
        <v>79113</v>
      </c>
      <c r="I3" s="2">
        <v>17660</v>
      </c>
      <c r="J3" s="2">
        <v>3969</v>
      </c>
      <c r="K3" s="2">
        <v>4800</v>
      </c>
      <c r="L3" s="2">
        <v>0</v>
      </c>
      <c r="M3" s="2">
        <v>8769</v>
      </c>
      <c r="N3" s="2">
        <v>8891</v>
      </c>
      <c r="O3" s="2">
        <v>1066</v>
      </c>
      <c r="P3" s="2">
        <v>-156</v>
      </c>
      <c r="Q3" s="2">
        <v>172</v>
      </c>
      <c r="R3" s="2">
        <v>9973</v>
      </c>
      <c r="S3" s="2">
        <v>-5001</v>
      </c>
      <c r="T3" s="2">
        <v>14974</v>
      </c>
    </row>
    <row r="4" spans="1:20" x14ac:dyDescent="0.45">
      <c r="A4" s="1">
        <v>2024</v>
      </c>
      <c r="B4" s="2">
        <v>97690</v>
      </c>
      <c r="C4" s="2">
        <v>72480</v>
      </c>
      <c r="D4" s="2">
        <v>2763</v>
      </c>
      <c r="E4" s="2">
        <v>1827</v>
      </c>
      <c r="F4" s="2">
        <v>10086</v>
      </c>
      <c r="G4" s="2">
        <v>10534</v>
      </c>
      <c r="H4" s="2">
        <v>80240</v>
      </c>
      <c r="I4" s="2">
        <v>17450</v>
      </c>
      <c r="J4" s="2">
        <v>4540</v>
      </c>
      <c r="K4" s="2">
        <v>5150</v>
      </c>
      <c r="L4" s="2">
        <v>684</v>
      </c>
      <c r="M4" s="2">
        <v>10374</v>
      </c>
      <c r="N4" s="2">
        <v>7076</v>
      </c>
      <c r="O4" s="2">
        <v>1569</v>
      </c>
      <c r="P4" s="2">
        <v>-350</v>
      </c>
      <c r="Q4" s="2">
        <v>695</v>
      </c>
      <c r="R4" s="2">
        <v>8990</v>
      </c>
      <c r="S4" s="2">
        <v>1837</v>
      </c>
      <c r="T4" s="2">
        <v>7153</v>
      </c>
    </row>
    <row r="5" spans="1:20" x14ac:dyDescent="0.45">
      <c r="A5" s="1" t="s">
        <v>78</v>
      </c>
      <c r="B5" s="2">
        <v>107725</v>
      </c>
      <c r="C5" s="2">
        <v>80002</v>
      </c>
      <c r="F5" s="2">
        <v>14422.999999999998</v>
      </c>
      <c r="G5" s="2">
        <v>13300</v>
      </c>
      <c r="H5" s="2">
        <v>87843.533395039121</v>
      </c>
      <c r="I5" s="2">
        <v>19881.466604960879</v>
      </c>
      <c r="J5" s="2">
        <v>4641.5868745169619</v>
      </c>
      <c r="K5" s="2">
        <v>5400.901926436185</v>
      </c>
      <c r="L5" s="2">
        <v>0</v>
      </c>
      <c r="M5" s="2">
        <v>10042.48880095315</v>
      </c>
      <c r="N5" s="2">
        <v>9838.9778040077363</v>
      </c>
      <c r="O5" s="2">
        <v>1615.875</v>
      </c>
      <c r="P5" s="2">
        <v>-377.03750000000002</v>
      </c>
      <c r="Q5" s="2">
        <v>646.35</v>
      </c>
      <c r="R5" s="2">
        <v>11724.16530400774</v>
      </c>
      <c r="S5" s="2">
        <v>2462.074713841625</v>
      </c>
      <c r="T5" s="2">
        <v>9262.0905901661117</v>
      </c>
    </row>
    <row r="6" spans="1:20" x14ac:dyDescent="0.45">
      <c r="A6" s="1" t="s">
        <v>79</v>
      </c>
      <c r="B6" s="2">
        <v>123353</v>
      </c>
      <c r="C6" s="2">
        <v>86103</v>
      </c>
      <c r="F6" s="2">
        <v>20192</v>
      </c>
      <c r="G6" s="2">
        <v>16758</v>
      </c>
      <c r="H6" s="2">
        <v>100093.8553462823</v>
      </c>
      <c r="I6" s="2">
        <v>23259.1446537177</v>
      </c>
      <c r="J6" s="2">
        <v>5234.0178637824229</v>
      </c>
      <c r="K6" s="2">
        <v>6058.2147201956559</v>
      </c>
      <c r="L6" s="2">
        <v>0</v>
      </c>
      <c r="M6" s="2">
        <v>11292.232583978081</v>
      </c>
      <c r="N6" s="2">
        <v>11966.912069739619</v>
      </c>
      <c r="O6" s="2">
        <v>1850.2950000000001</v>
      </c>
      <c r="P6" s="2">
        <v>-431.7355</v>
      </c>
      <c r="Q6" s="2">
        <v>740.11800000000005</v>
      </c>
      <c r="R6" s="2">
        <v>14125.589569739621</v>
      </c>
      <c r="S6" s="2">
        <v>2966.3738096453212</v>
      </c>
      <c r="T6" s="2">
        <v>11159.215760094299</v>
      </c>
    </row>
    <row r="7" spans="1:20" x14ac:dyDescent="0.45">
      <c r="A7" s="1" t="s">
        <v>80</v>
      </c>
      <c r="B7" s="2">
        <v>146046</v>
      </c>
      <c r="C7" s="2">
        <v>94162</v>
      </c>
      <c r="F7" s="2">
        <v>28269</v>
      </c>
      <c r="G7" s="2">
        <v>21115</v>
      </c>
      <c r="H7" s="2">
        <v>117923.7339096021</v>
      </c>
      <c r="I7" s="2">
        <v>28122.26609039793</v>
      </c>
      <c r="J7" s="2">
        <v>6101.080965706743</v>
      </c>
      <c r="K7" s="2">
        <v>7023.300215338576</v>
      </c>
      <c r="L7" s="2">
        <v>0</v>
      </c>
      <c r="M7" s="2">
        <v>13124.381181045321</v>
      </c>
      <c r="N7" s="2">
        <v>14997.88490935261</v>
      </c>
      <c r="O7" s="2">
        <v>2190.69</v>
      </c>
      <c r="P7" s="2">
        <v>-511.161</v>
      </c>
      <c r="Q7" s="2">
        <v>876.27600000000007</v>
      </c>
      <c r="R7" s="2">
        <v>17553.689909352612</v>
      </c>
      <c r="S7" s="2">
        <v>3686.274880964048</v>
      </c>
      <c r="T7" s="2">
        <v>13867.415028388559</v>
      </c>
    </row>
    <row r="8" spans="1:20" x14ac:dyDescent="0.45">
      <c r="A8" s="1" t="s">
        <v>81</v>
      </c>
      <c r="B8" s="2">
        <v>186125</v>
      </c>
      <c r="C8" s="2">
        <v>102943</v>
      </c>
      <c r="F8" s="2">
        <v>39577</v>
      </c>
      <c r="G8" s="2">
        <v>26605</v>
      </c>
      <c r="H8" s="2">
        <v>149540.71817731869</v>
      </c>
      <c r="I8" s="2">
        <v>36584.281822681311</v>
      </c>
      <c r="J8" s="2">
        <v>7653.2573008994405</v>
      </c>
      <c r="K8" s="2">
        <v>8760.2449678016146</v>
      </c>
      <c r="L8" s="2">
        <v>0</v>
      </c>
      <c r="M8" s="2">
        <v>16413.50226870105</v>
      </c>
      <c r="N8" s="2">
        <v>20170.779553980261</v>
      </c>
      <c r="O8" s="2">
        <v>2791.875</v>
      </c>
      <c r="P8" s="2">
        <v>-651.4375</v>
      </c>
      <c r="Q8" s="2">
        <v>1116.75</v>
      </c>
      <c r="R8" s="2">
        <v>23427.967053980261</v>
      </c>
      <c r="S8" s="2">
        <v>4919.8730813358543</v>
      </c>
      <c r="T8" s="2">
        <v>18508.093972644401</v>
      </c>
    </row>
    <row r="9" spans="1:20" x14ac:dyDescent="0.45">
      <c r="A9" s="1" t="s">
        <v>82</v>
      </c>
      <c r="B9" s="2">
        <v>234425</v>
      </c>
      <c r="C9" s="2">
        <v>112495</v>
      </c>
      <c r="F9" s="2">
        <v>55408.000000000007</v>
      </c>
      <c r="G9" s="2">
        <v>33522</v>
      </c>
      <c r="H9" s="2">
        <v>187409.28648068741</v>
      </c>
      <c r="I9" s="2">
        <v>47015.713519312652</v>
      </c>
      <c r="J9" s="2">
        <v>9485.4820716808372</v>
      </c>
      <c r="K9" s="2">
        <v>10793.69512026866</v>
      </c>
      <c r="L9" s="2">
        <v>0</v>
      </c>
      <c r="M9" s="2">
        <v>20279.1771919495</v>
      </c>
      <c r="N9" s="2">
        <v>26736.536327363148</v>
      </c>
      <c r="O9" s="2">
        <v>3516.375</v>
      </c>
      <c r="P9" s="2">
        <v>-820.48750000000007</v>
      </c>
      <c r="Q9" s="2">
        <v>1406.55</v>
      </c>
      <c r="R9" s="2">
        <v>30838.973827363148</v>
      </c>
      <c r="S9" s="2">
        <v>6476.1845037462608</v>
      </c>
      <c r="T9" s="2">
        <v>24362.789323616889</v>
      </c>
    </row>
    <row r="10" spans="1:20" x14ac:dyDescent="0.45">
      <c r="A10" s="1" t="s">
        <v>83</v>
      </c>
      <c r="B10" s="2">
        <v>292679</v>
      </c>
      <c r="C10" s="2">
        <v>122870</v>
      </c>
      <c r="F10" s="2">
        <v>77571</v>
      </c>
      <c r="G10" s="2">
        <v>42238</v>
      </c>
      <c r="H10" s="2">
        <v>232809.2885126633</v>
      </c>
      <c r="I10" s="2">
        <v>59869.711487336703</v>
      </c>
      <c r="J10" s="2">
        <v>11650.557427653301</v>
      </c>
      <c r="K10" s="2">
        <v>13176.435708234079</v>
      </c>
      <c r="L10" s="2">
        <v>0</v>
      </c>
      <c r="M10" s="2">
        <v>24826.99313588738</v>
      </c>
      <c r="N10" s="2">
        <v>35042.718351449323</v>
      </c>
      <c r="O10" s="2">
        <v>4390.1849999999986</v>
      </c>
      <c r="P10" s="2">
        <v>-1024.3765000000001</v>
      </c>
      <c r="Q10" s="2">
        <v>1756.0740000000001</v>
      </c>
      <c r="R10" s="2">
        <v>40164.600851449322</v>
      </c>
      <c r="S10" s="2">
        <v>8434.5661788043562</v>
      </c>
      <c r="T10" s="2">
        <v>31730.034672644961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zoomScale="80" zoomScaleNormal="80" workbookViewId="0">
      <selection activeCell="B2" sqref="B2:Q2"/>
    </sheetView>
  </sheetViews>
  <sheetFormatPr defaultRowHeight="14.25" x14ac:dyDescent="0.45"/>
  <cols>
    <col min="2" max="2" width="9.59765625" bestFit="1" customWidth="1"/>
    <col min="3" max="3" width="20.53125" bestFit="1" customWidth="1"/>
    <col min="4" max="4" width="17.53125" bestFit="1" customWidth="1"/>
    <col min="5" max="5" width="9.59765625" bestFit="1" customWidth="1"/>
    <col min="6" max="6" width="15" bestFit="1" customWidth="1"/>
    <col min="7" max="7" width="17.265625" bestFit="1" customWidth="1"/>
    <col min="8" max="8" width="9.59765625" bestFit="1" customWidth="1"/>
    <col min="9" max="9" width="10.59765625" bestFit="1" customWidth="1"/>
    <col min="10" max="10" width="15.06640625" bestFit="1" customWidth="1"/>
    <col min="11" max="11" width="15.46484375" bestFit="1" customWidth="1"/>
    <col min="12" max="12" width="15.59765625" bestFit="1" customWidth="1"/>
    <col min="13" max="13" width="11.265625" bestFit="1" customWidth="1"/>
    <col min="14" max="14" width="13.73046875" bestFit="1" customWidth="1"/>
    <col min="15" max="15" width="12.9296875" bestFit="1" customWidth="1"/>
    <col min="16" max="16" width="10.59765625" bestFit="1" customWidth="1"/>
    <col min="17" max="17" width="15.3984375" bestFit="1" customWidth="1"/>
  </cols>
  <sheetData>
    <row r="1" spans="1:17" x14ac:dyDescent="0.45">
      <c r="A1" s="1" t="s">
        <v>40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</row>
    <row r="2" spans="1:17" x14ac:dyDescent="0.45">
      <c r="A2" s="1">
        <v>2022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45">
      <c r="A3" s="1">
        <v>2023</v>
      </c>
      <c r="B3" s="2">
        <v>16398</v>
      </c>
      <c r="C3" s="2">
        <v>12696</v>
      </c>
      <c r="D3" s="2">
        <v>3508</v>
      </c>
      <c r="E3" s="2">
        <v>13626</v>
      </c>
      <c r="F3" s="2">
        <v>3388</v>
      </c>
      <c r="G3" s="2">
        <v>49616</v>
      </c>
      <c r="H3" s="2">
        <v>29725</v>
      </c>
      <c r="I3" s="2">
        <v>106618</v>
      </c>
      <c r="J3" s="2">
        <v>14431</v>
      </c>
      <c r="K3" s="2">
        <v>9080</v>
      </c>
      <c r="L3" s="2">
        <v>2864</v>
      </c>
      <c r="M3" s="2">
        <v>2373</v>
      </c>
      <c r="N3" s="2">
        <v>2857</v>
      </c>
      <c r="O3" s="2">
        <v>43009</v>
      </c>
      <c r="P3" s="2">
        <v>62634</v>
      </c>
      <c r="Q3" s="2">
        <v>27882</v>
      </c>
    </row>
    <row r="4" spans="1:17" x14ac:dyDescent="0.45">
      <c r="A4" s="1">
        <v>2024</v>
      </c>
      <c r="B4" s="2">
        <v>16139</v>
      </c>
      <c r="C4" s="2">
        <v>20424</v>
      </c>
      <c r="D4" s="2">
        <v>4418</v>
      </c>
      <c r="E4" s="2">
        <v>12017</v>
      </c>
      <c r="F4" s="2">
        <v>5362</v>
      </c>
      <c r="G4" s="2">
        <v>58360</v>
      </c>
      <c r="H4" s="2">
        <v>35836</v>
      </c>
      <c r="I4" s="2">
        <v>122070</v>
      </c>
      <c r="J4" s="2">
        <v>12474</v>
      </c>
      <c r="K4" s="2">
        <v>10723</v>
      </c>
      <c r="L4" s="2">
        <v>3168</v>
      </c>
      <c r="M4" s="2">
        <v>2456</v>
      </c>
      <c r="N4" s="2">
        <v>5757</v>
      </c>
      <c r="O4" s="2">
        <v>48390</v>
      </c>
      <c r="P4" s="2">
        <v>72913</v>
      </c>
      <c r="Q4" s="2">
        <v>35209</v>
      </c>
    </row>
    <row r="5" spans="1:17" x14ac:dyDescent="0.45">
      <c r="A5" s="1" t="s">
        <v>78</v>
      </c>
      <c r="B5" s="2">
        <v>16077.45083415055</v>
      </c>
      <c r="C5" s="2"/>
      <c r="D5" s="2">
        <v>11805.479452054789</v>
      </c>
      <c r="E5" s="2">
        <v>13663.91813928394</v>
      </c>
      <c r="F5" s="2"/>
      <c r="G5" s="2">
        <f>SUM(B5:F5)</f>
        <v>41546.848425489276</v>
      </c>
      <c r="H5" s="2">
        <v>38781</v>
      </c>
      <c r="I5" s="2">
        <v>123672.698724235</v>
      </c>
      <c r="J5" s="2">
        <v>14004.25</v>
      </c>
      <c r="K5" s="2">
        <v>11849.75</v>
      </c>
      <c r="L5" s="2">
        <v>3447.2</v>
      </c>
      <c r="M5" s="2">
        <v>2136.53278705809</v>
      </c>
      <c r="N5" s="2">
        <v>4985.243169802211</v>
      </c>
      <c r="O5" s="2">
        <v>43707.57114823236</v>
      </c>
      <c r="P5" s="2">
        <v>79965.127576002618</v>
      </c>
      <c r="Q5" s="2">
        <v>43544.881531149498</v>
      </c>
    </row>
    <row r="6" spans="1:17" x14ac:dyDescent="0.45">
      <c r="A6" s="1" t="s">
        <v>79</v>
      </c>
      <c r="B6" s="2">
        <v>18055.820809753041</v>
      </c>
      <c r="C6" s="2"/>
      <c r="D6" s="2">
        <v>13518.13698630137</v>
      </c>
      <c r="E6" s="2">
        <v>15128.79130271089</v>
      </c>
      <c r="F6" s="2"/>
      <c r="G6" s="2">
        <f t="shared" ref="G6:G10" si="0">SUM(B6:F6)</f>
        <v>46702.7490987653</v>
      </c>
      <c r="H6" s="2">
        <v>41940.019999999997</v>
      </c>
      <c r="I6" s="2">
        <v>138890.92930579261</v>
      </c>
      <c r="J6" s="2">
        <v>16035.89</v>
      </c>
      <c r="K6" s="2">
        <v>13568.83</v>
      </c>
      <c r="L6" s="2">
        <v>3947.2959999999998</v>
      </c>
      <c r="M6" s="2">
        <v>2375.2016639828121</v>
      </c>
      <c r="N6" s="2">
        <v>5542.1372159598941</v>
      </c>
      <c r="O6" s="2">
        <v>49763.225855931247</v>
      </c>
      <c r="P6" s="2">
        <v>89127.703449861365</v>
      </c>
      <c r="Q6" s="2">
        <v>53588.175715234371</v>
      </c>
    </row>
    <row r="7" spans="1:17" x14ac:dyDescent="0.45">
      <c r="A7" s="1" t="s">
        <v>80</v>
      </c>
      <c r="B7" s="2">
        <v>20974.16405517927</v>
      </c>
      <c r="C7" s="2"/>
      <c r="D7" s="2">
        <v>16005.04109589041</v>
      </c>
      <c r="E7" s="2">
        <v>17333.146351727471</v>
      </c>
      <c r="F7" s="2"/>
      <c r="G7" s="2">
        <f t="shared" si="0"/>
        <v>54312.351502797144</v>
      </c>
      <c r="H7" s="2">
        <v>46734.720000000001</v>
      </c>
      <c r="I7" s="2">
        <v>161339.72350137899</v>
      </c>
      <c r="J7" s="2">
        <v>18985.98</v>
      </c>
      <c r="K7" s="2">
        <v>16065.06</v>
      </c>
      <c r="L7" s="2">
        <v>4673.4719999999998</v>
      </c>
      <c r="M7" s="2">
        <v>2730.9488878021498</v>
      </c>
      <c r="N7" s="2">
        <v>6372.2140715383493</v>
      </c>
      <c r="O7" s="2">
        <v>58593.209951208613</v>
      </c>
      <c r="P7" s="2">
        <v>102746.51355017041</v>
      </c>
      <c r="Q7" s="2">
        <v>66068.849240784082</v>
      </c>
    </row>
    <row r="8" spans="1:17" x14ac:dyDescent="0.45">
      <c r="A8" s="1" t="s">
        <v>81</v>
      </c>
      <c r="B8" s="2">
        <v>26235.045058459869</v>
      </c>
      <c r="C8" s="2"/>
      <c r="D8" s="2">
        <v>20397.260273972599</v>
      </c>
      <c r="E8" s="2">
        <v>21391.641867912691</v>
      </c>
      <c r="F8" s="2"/>
      <c r="G8" s="2">
        <f t="shared" si="0"/>
        <v>68023.947200345166</v>
      </c>
      <c r="H8" s="2">
        <v>55837.5</v>
      </c>
      <c r="I8" s="2">
        <v>201808.0389112297</v>
      </c>
      <c r="J8" s="2">
        <v>24196.25</v>
      </c>
      <c r="K8" s="2">
        <v>20473.75</v>
      </c>
      <c r="L8" s="2">
        <v>5956</v>
      </c>
      <c r="M8" s="2">
        <v>3380.7279533980759</v>
      </c>
      <c r="N8" s="2">
        <v>7888.3652245955109</v>
      </c>
      <c r="O8" s="2">
        <v>74274.111813592302</v>
      </c>
      <c r="P8" s="2">
        <v>127533.9270976374</v>
      </c>
      <c r="Q8" s="2">
        <v>82726.133816164045</v>
      </c>
    </row>
    <row r="9" spans="1:17" x14ac:dyDescent="0.45">
      <c r="A9" s="1" t="s">
        <v>82</v>
      </c>
      <c r="B9" s="2">
        <v>32442.334564287488</v>
      </c>
      <c r="C9" s="2"/>
      <c r="D9" s="2">
        <v>25690.410958904111</v>
      </c>
      <c r="E9" s="2">
        <v>26109.34317996079</v>
      </c>
      <c r="F9" s="2"/>
      <c r="G9" s="2">
        <f t="shared" si="0"/>
        <v>84242.088703152389</v>
      </c>
      <c r="H9" s="2">
        <v>65639</v>
      </c>
      <c r="I9" s="2">
        <v>249556.4197252884</v>
      </c>
      <c r="J9" s="2">
        <v>30475.25</v>
      </c>
      <c r="K9" s="2">
        <v>25786.75</v>
      </c>
      <c r="L9" s="2">
        <v>7501.6</v>
      </c>
      <c r="M9" s="2">
        <v>4137.0701120728927</v>
      </c>
      <c r="N9" s="2">
        <v>9653.1635948367493</v>
      </c>
      <c r="O9" s="2">
        <v>93064.600448291574</v>
      </c>
      <c r="P9" s="2">
        <v>156491.8192769968</v>
      </c>
      <c r="Q9" s="2">
        <v>104652.6442074192</v>
      </c>
    </row>
    <row r="10" spans="1:17" x14ac:dyDescent="0.45">
      <c r="A10" s="1" t="s">
        <v>83</v>
      </c>
      <c r="B10" s="2">
        <v>39780.881190051681</v>
      </c>
      <c r="C10" s="2"/>
      <c r="D10" s="2">
        <v>32074.410958904111</v>
      </c>
      <c r="E10" s="2">
        <v>31609.743816288479</v>
      </c>
      <c r="F10" s="2"/>
      <c r="G10" s="2">
        <f t="shared" si="0"/>
        <v>103465.03596524427</v>
      </c>
      <c r="H10" s="2">
        <v>76096.540000000008</v>
      </c>
      <c r="I10" s="2">
        <v>306006.77838501288</v>
      </c>
      <c r="J10" s="2">
        <v>38048.269999999997</v>
      </c>
      <c r="K10" s="2">
        <v>32194.69</v>
      </c>
      <c r="L10" s="2">
        <v>9365.728000000001</v>
      </c>
      <c r="M10" s="2">
        <v>5019.4881084201752</v>
      </c>
      <c r="N10" s="2">
        <v>11712.138919647079</v>
      </c>
      <c r="O10" s="2">
        <v>115608.3780336807</v>
      </c>
      <c r="P10" s="2">
        <v>190398.40035133221</v>
      </c>
      <c r="Q10" s="2">
        <v>133209.6754127997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selection activeCell="B1" sqref="B1:B1048576"/>
    </sheetView>
  </sheetViews>
  <sheetFormatPr defaultRowHeight="14.25" x14ac:dyDescent="0.45"/>
  <cols>
    <col min="2" max="2" width="9.59765625" bestFit="1" customWidth="1"/>
    <col min="3" max="3" width="9.1328125" bestFit="1" customWidth="1"/>
    <col min="4" max="4" width="9.59765625" bestFit="1" customWidth="1"/>
    <col min="5" max="5" width="10.19921875" bestFit="1" customWidth="1"/>
    <col min="6" max="6" width="9.19921875" bestFit="1" customWidth="1"/>
    <col min="7" max="7" width="9.59765625" bestFit="1" customWidth="1"/>
  </cols>
  <sheetData>
    <row r="1" spans="1:7" x14ac:dyDescent="0.45">
      <c r="A1" s="1" t="s">
        <v>40</v>
      </c>
      <c r="B1" s="1" t="s">
        <v>18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</row>
    <row r="2" spans="1:7" x14ac:dyDescent="0.45">
      <c r="A2" s="1">
        <v>2022</v>
      </c>
      <c r="B2" s="2">
        <v>12587</v>
      </c>
      <c r="C2" s="2">
        <v>3747</v>
      </c>
      <c r="D2" s="2">
        <v>14724</v>
      </c>
      <c r="E2" s="2">
        <v>-11973</v>
      </c>
      <c r="F2" s="2">
        <v>-3527</v>
      </c>
      <c r="G2" s="2">
        <v>-1220</v>
      </c>
    </row>
    <row r="3" spans="1:7" x14ac:dyDescent="0.45">
      <c r="A3" s="1">
        <v>2023</v>
      </c>
      <c r="B3" s="2">
        <v>14974</v>
      </c>
      <c r="C3" s="2">
        <v>4667</v>
      </c>
      <c r="D3" s="2">
        <v>13256</v>
      </c>
      <c r="E3" s="2">
        <v>-15584</v>
      </c>
      <c r="F3" s="2">
        <v>2589</v>
      </c>
      <c r="G3" s="2">
        <v>265</v>
      </c>
    </row>
    <row r="4" spans="1:7" x14ac:dyDescent="0.45">
      <c r="A4" s="1">
        <v>2024</v>
      </c>
      <c r="B4" s="2">
        <v>7153</v>
      </c>
      <c r="C4" s="2">
        <v>5368</v>
      </c>
      <c r="D4" s="2">
        <v>14923</v>
      </c>
      <c r="E4" s="2">
        <v>-18787</v>
      </c>
      <c r="F4" s="2">
        <v>3853</v>
      </c>
      <c r="G4" s="2">
        <v>-152</v>
      </c>
    </row>
    <row r="5" spans="1:7" x14ac:dyDescent="0.45">
      <c r="A5" s="1" t="s">
        <v>78</v>
      </c>
      <c r="B5" s="2">
        <v>9262.0905901661117</v>
      </c>
      <c r="C5" s="2">
        <v>4300.32</v>
      </c>
      <c r="D5" s="2">
        <v>6058.262998827382</v>
      </c>
      <c r="E5" s="2">
        <v>-7245.32</v>
      </c>
      <c r="F5" s="2">
        <v>-1554.328572648004</v>
      </c>
      <c r="G5" s="2">
        <v>-2741.3855738206221</v>
      </c>
    </row>
    <row r="6" spans="1:7" x14ac:dyDescent="0.45">
      <c r="A6" s="1" t="s">
        <v>79</v>
      </c>
      <c r="B6" s="2">
        <v>11159.215760094299</v>
      </c>
      <c r="C6" s="2">
        <v>4653.72</v>
      </c>
      <c r="D6" s="2">
        <v>14667.045062420781</v>
      </c>
      <c r="E6" s="2">
        <v>-7812.7400000000043</v>
      </c>
      <c r="F6" s="2">
        <v>237.60213507769001</v>
      </c>
      <c r="G6" s="2">
        <v>7091.9071974984608</v>
      </c>
    </row>
    <row r="7" spans="1:7" x14ac:dyDescent="0.45">
      <c r="A7" s="1" t="s">
        <v>80</v>
      </c>
      <c r="B7" s="2">
        <v>13867.415028388559</v>
      </c>
      <c r="C7" s="2">
        <v>5032.8023999999996</v>
      </c>
      <c r="D7" s="2">
        <v>17159.048269782939</v>
      </c>
      <c r="E7" s="2">
        <v>-9827.5023999999976</v>
      </c>
      <c r="F7" s="2">
        <v>492.45332797836483</v>
      </c>
      <c r="G7" s="2">
        <v>7823.9991977613099</v>
      </c>
    </row>
    <row r="8" spans="1:7" x14ac:dyDescent="0.45">
      <c r="A8" s="1" t="s">
        <v>81</v>
      </c>
      <c r="B8" s="2">
        <v>18508.093972644401</v>
      </c>
      <c r="C8" s="2">
        <v>5608.1664000000001</v>
      </c>
      <c r="D8" s="2">
        <v>20875.815678376988</v>
      </c>
      <c r="E8" s="2">
        <v>-14710.946400000001</v>
      </c>
      <c r="F8" s="2">
        <v>1240.5255200208669</v>
      </c>
      <c r="G8" s="2">
        <v>7405.3947983978615</v>
      </c>
    </row>
    <row r="9" spans="1:7" x14ac:dyDescent="0.45">
      <c r="A9" s="1" t="s">
        <v>82</v>
      </c>
      <c r="B9" s="2">
        <v>24362.789323616889</v>
      </c>
      <c r="C9" s="2">
        <v>6700.5</v>
      </c>
      <c r="D9" s="2">
        <v>27331.43732663729</v>
      </c>
      <c r="E9" s="2">
        <v>-16502</v>
      </c>
      <c r="F9" s="2">
        <v>1303.001062735211</v>
      </c>
      <c r="G9" s="2">
        <v>12132.438389372501</v>
      </c>
    </row>
    <row r="10" spans="1:7" x14ac:dyDescent="0.45">
      <c r="A10" s="1" t="s">
        <v>83</v>
      </c>
      <c r="B10" s="2">
        <v>31730.034672644961</v>
      </c>
      <c r="C10" s="2">
        <v>7876.6799999999994</v>
      </c>
      <c r="D10" s="2">
        <v>35295.334036317268</v>
      </c>
      <c r="E10" s="2">
        <v>-18334.220000000008</v>
      </c>
      <c r="F10" s="2">
        <v>1354.8915875253599</v>
      </c>
      <c r="G10" s="2">
        <v>18316.005623842619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showGridLines="0" tabSelected="1" workbookViewId="0">
      <selection activeCell="H3" sqref="H3:H10"/>
    </sheetView>
  </sheetViews>
  <sheetFormatPr defaultRowHeight="14.25" x14ac:dyDescent="0.45"/>
  <cols>
    <col min="2" max="2" width="11.9296875" bestFit="1" customWidth="1"/>
    <col min="3" max="3" width="15.59765625" bestFit="1" customWidth="1"/>
    <col min="4" max="6" width="16.73046875" customWidth="1"/>
    <col min="7" max="7" width="15.1328125" bestFit="1" customWidth="1"/>
    <col min="8" max="8" width="13.59765625" bestFit="1" customWidth="1"/>
    <col min="9" max="9" width="17.1328125" bestFit="1" customWidth="1"/>
    <col min="10" max="10" width="13.59765625" bestFit="1" customWidth="1"/>
    <col min="11" max="11" width="13.46484375" bestFit="1" customWidth="1"/>
    <col min="12" max="13" width="11.73046875" bestFit="1" customWidth="1"/>
  </cols>
  <sheetData>
    <row r="1" spans="1:13" x14ac:dyDescent="0.4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</row>
    <row r="2" spans="1:13" x14ac:dyDescent="0.45">
      <c r="A2" s="1">
        <v>2022</v>
      </c>
      <c r="B2" s="3">
        <v>0.25598438535758999</v>
      </c>
      <c r="C2" s="3">
        <v>0.16763644398615299</v>
      </c>
      <c r="D2" s="3">
        <v>0.15451376101740691</v>
      </c>
      <c r="E2" s="3">
        <v>3.7747661486337188E-2</v>
      </c>
      <c r="F2" s="3">
        <v>4.8439763325231387E-2</v>
      </c>
      <c r="G2" s="3">
        <v>8.8347941371436992E-2</v>
      </c>
      <c r="H2" s="3"/>
      <c r="I2" s="2"/>
      <c r="J2" s="3"/>
      <c r="K2" s="3"/>
      <c r="L2" s="3"/>
      <c r="M2" s="3"/>
    </row>
    <row r="3" spans="1:13" x14ac:dyDescent="0.45">
      <c r="A3" s="1">
        <v>2023</v>
      </c>
      <c r="B3" s="3">
        <v>0.18248891736331421</v>
      </c>
      <c r="C3" s="3">
        <v>9.1874799789197395E-2</v>
      </c>
      <c r="D3" s="3">
        <v>0.1547332417099811</v>
      </c>
      <c r="E3" s="3">
        <v>4.1013505833238609E-2</v>
      </c>
      <c r="F3" s="3">
        <v>4.9600611740878139E-2</v>
      </c>
      <c r="G3" s="3">
        <v>9.0614117574116748E-2</v>
      </c>
      <c r="H3" s="2">
        <v>0.90766099532911892</v>
      </c>
      <c r="I3" s="2">
        <v>5.806032584764421</v>
      </c>
      <c r="J3" s="3">
        <f>'Balance Sheet (normal)'!O3/'Balance Sheet (normal)'!I3</f>
        <v>0.40339342324935751</v>
      </c>
      <c r="K3" s="3">
        <f>'Balance Sheet (normal)'!O3/'Balance Sheet (normal)'!P3</f>
        <v>0.68667177571287163</v>
      </c>
      <c r="L3" s="3">
        <v>0.2390714308522528</v>
      </c>
      <c r="M3" s="3">
        <v>0.1404453281809826</v>
      </c>
    </row>
    <row r="4" spans="1:13" x14ac:dyDescent="0.45">
      <c r="A4" s="1">
        <v>2024</v>
      </c>
      <c r="B4" s="3">
        <v>0.178626266762207</v>
      </c>
      <c r="C4" s="3">
        <v>7.2433207083631893E-2</v>
      </c>
      <c r="D4" s="3">
        <v>7.322141467908691E-2</v>
      </c>
      <c r="E4" s="3">
        <v>4.6473538745009722E-2</v>
      </c>
      <c r="F4" s="3">
        <v>5.2717780734977987E-2</v>
      </c>
      <c r="G4" s="3">
        <v>0.10619305967857511</v>
      </c>
      <c r="H4" s="2">
        <v>0.80027852871303351</v>
      </c>
      <c r="I4" s="2">
        <v>6.6772072896729631</v>
      </c>
      <c r="J4" s="3">
        <f>'Balance Sheet (normal)'!O4/'Balance Sheet (normal)'!I4</f>
        <v>0.39641189481445072</v>
      </c>
      <c r="K4" s="3">
        <f>'Balance Sheet (normal)'!O4/'Balance Sheet (normal)'!P4</f>
        <v>0.66366765871655264</v>
      </c>
      <c r="L4" s="3">
        <v>9.8103218904722067E-2</v>
      </c>
      <c r="M4" s="3">
        <v>5.8597526009666577E-2</v>
      </c>
    </row>
    <row r="5" spans="1:13" x14ac:dyDescent="0.45">
      <c r="A5" s="1" t="s">
        <v>78</v>
      </c>
      <c r="B5" s="3">
        <v>0.18455759206276059</v>
      </c>
      <c r="C5" s="3">
        <v>9.1334210294803778E-2</v>
      </c>
      <c r="D5" s="3">
        <v>8.5979026132894987E-2</v>
      </c>
      <c r="E5" s="3">
        <f>'Income Statement (normal)'!J5/'Income Statement (normal)'!B5</f>
        <v>4.3087369454787298E-2</v>
      </c>
      <c r="F5" s="3">
        <f>'Income Statement (normal)'!K5/'Income Statement (normal)'!B5</f>
        <v>5.0136012313169505E-2</v>
      </c>
      <c r="G5" s="3">
        <f>'Income Statement (normal)'!M5/'Income Statement (normal)'!B5</f>
        <v>9.3223381767956831E-2</v>
      </c>
      <c r="H5" s="2">
        <v>0.87104915726149779</v>
      </c>
      <c r="I5" s="2">
        <f>'Income Statement (normal)'!B5/'Balance Sheet (normal)'!E5</f>
        <v>7.883902618699774</v>
      </c>
      <c r="J5" s="3">
        <f>'Balance Sheet (normal)'!O5/'Balance Sheet (normal)'!I5</f>
        <v>0.35341325611153168</v>
      </c>
      <c r="K5" s="3">
        <f>'Balance Sheet (normal)'!O5/'Balance Sheet (normal)'!P5</f>
        <v>0.54658289773489865</v>
      </c>
      <c r="L5" s="3">
        <v>0.115826621815403</v>
      </c>
      <c r="M5" s="3">
        <v>7.4891958255222463E-2</v>
      </c>
    </row>
    <row r="6" spans="1:13" x14ac:dyDescent="0.45">
      <c r="A6" s="1" t="s">
        <v>79</v>
      </c>
      <c r="B6" s="3">
        <v>0.1885575920627606</v>
      </c>
      <c r="C6" s="3">
        <v>9.7013547053899168E-2</v>
      </c>
      <c r="D6" s="3">
        <v>9.0465702172580348E-2</v>
      </c>
      <c r="E6" s="3">
        <f>'Income Statement (normal)'!J6/'Income Statement (normal)'!B6</f>
        <v>4.2431216620450435E-2</v>
      </c>
      <c r="F6" s="3">
        <f>'Income Statement (normal)'!K6/'Income Statement (normal)'!B6</f>
        <v>4.9112828388410947E-2</v>
      </c>
      <c r="G6" s="3">
        <f>'Income Statement (normal)'!M6/'Income Statement (normal)'!B6</f>
        <v>9.1544045008861402E-2</v>
      </c>
      <c r="H6" s="2">
        <v>0.88812855250191935</v>
      </c>
      <c r="I6" s="2">
        <f>'Income Statement (normal)'!B6/'Balance Sheet (normal)'!E6</f>
        <v>8.1535264471456284</v>
      </c>
      <c r="J6" s="3">
        <f>'Balance Sheet (normal)'!O6/'Balance Sheet (normal)'!I6</f>
        <v>0.35828996252425399</v>
      </c>
      <c r="K6" s="3">
        <f>'Balance Sheet (normal)'!O6/'Balance Sheet (normal)'!P6</f>
        <v>0.55833622913806435</v>
      </c>
      <c r="L6" s="3">
        <v>0.12520479411176461</v>
      </c>
      <c r="M6" s="3">
        <v>8.0345173121603511E-2</v>
      </c>
    </row>
    <row r="7" spans="1:13" x14ac:dyDescent="0.45">
      <c r="A7" s="1" t="s">
        <v>80</v>
      </c>
      <c r="B7" s="3">
        <v>0.1925575920627606</v>
      </c>
      <c r="C7" s="3">
        <v>0.1026928838129946</v>
      </c>
      <c r="D7" s="3">
        <v>9.4952378212265751E-2</v>
      </c>
      <c r="E7" s="3">
        <f>'Income Statement (normal)'!J7/'Income Statement (normal)'!B7</f>
        <v>4.1775063786113571E-2</v>
      </c>
      <c r="F7" s="3">
        <f>'Income Statement (normal)'!K7/'Income Statement (normal)'!B7</f>
        <v>4.8089644463652381E-2</v>
      </c>
      <c r="G7" s="3">
        <f>'Income Statement (normal)'!M7/'Income Statement (normal)'!B7</f>
        <v>8.9864708249765973E-2</v>
      </c>
      <c r="H7" s="2">
        <v>0.90520794774234092</v>
      </c>
      <c r="I7" s="2">
        <f>'Income Statement (normal)'!B7/'Balance Sheet (normal)'!E7</f>
        <v>8.4258216619422139</v>
      </c>
      <c r="J7" s="3">
        <f>'Balance Sheet (normal)'!O7/'Balance Sheet (normal)'!I7</f>
        <v>0.36316666893697641</v>
      </c>
      <c r="K7" s="3">
        <f>'Balance Sheet (normal)'!O7/'Balance Sheet (normal)'!P7</f>
        <v>0.57026956853964639</v>
      </c>
      <c r="L7" s="3">
        <v>0.13496725630127779</v>
      </c>
      <c r="M7" s="3">
        <v>8.5951647414779633E-2</v>
      </c>
    </row>
    <row r="8" spans="1:13" x14ac:dyDescent="0.45">
      <c r="A8" s="1" t="s">
        <v>81</v>
      </c>
      <c r="B8" s="3">
        <v>0.19655759206276061</v>
      </c>
      <c r="C8" s="3">
        <v>0.10837222057209001</v>
      </c>
      <c r="D8" s="3">
        <v>9.9439054251951139E-2</v>
      </c>
      <c r="E8" s="3">
        <f>'Income Statement (normal)'!J8/'Income Statement (normal)'!B8</f>
        <v>4.1118910951776715E-2</v>
      </c>
      <c r="F8" s="3">
        <f>'Income Statement (normal)'!K8/'Income Statement (normal)'!B8</f>
        <v>4.706646053889383E-2</v>
      </c>
      <c r="G8" s="3">
        <f>'Income Statement (normal)'!M8/'Income Statement (normal)'!B8</f>
        <v>8.8185371490670517E-2</v>
      </c>
      <c r="H8" s="2">
        <v>0.92228734298276249</v>
      </c>
      <c r="I8" s="2">
        <f>'Income Statement (normal)'!B8/'Balance Sheet (normal)'!E8</f>
        <v>8.7008281621985351</v>
      </c>
      <c r="J8" s="3">
        <f>'Balance Sheet (normal)'!O8/'Balance Sheet (normal)'!I8</f>
        <v>0.36804337534969866</v>
      </c>
      <c r="K8" s="3">
        <f>'Balance Sheet (normal)'!O8/'Balance Sheet (normal)'!P8</f>
        <v>0.58238708321691957</v>
      </c>
      <c r="L8" s="3">
        <v>0.1451229048916135</v>
      </c>
      <c r="M8" s="3">
        <v>9.1711381134750775E-2</v>
      </c>
    </row>
    <row r="9" spans="1:13" x14ac:dyDescent="0.45">
      <c r="A9" s="1" t="s">
        <v>82</v>
      </c>
      <c r="B9" s="3">
        <v>0.20055759206276061</v>
      </c>
      <c r="C9" s="3">
        <v>0.11405155733118549</v>
      </c>
      <c r="D9" s="3">
        <v>0.1039257302916365</v>
      </c>
      <c r="E9" s="3">
        <f>'Income Statement (normal)'!J9/'Income Statement (normal)'!B9</f>
        <v>4.0462758117439851E-2</v>
      </c>
      <c r="F9" s="3">
        <f>'Income Statement (normal)'!K9/'Income Statement (normal)'!B9</f>
        <v>4.6043276614135265E-2</v>
      </c>
      <c r="G9" s="3">
        <f>'Income Statement (normal)'!M9/'Income Statement (normal)'!B9</f>
        <v>8.6506034731575129E-2</v>
      </c>
      <c r="H9" s="2">
        <v>0.93936673822318395</v>
      </c>
      <c r="I9" s="2">
        <f>'Income Statement (normal)'!B9/'Balance Sheet (normal)'!E9</f>
        <v>8.978586645562336</v>
      </c>
      <c r="J9" s="3">
        <f>'Balance Sheet (normal)'!O9/'Balance Sheet (normal)'!I9</f>
        <v>0.37292008176242086</v>
      </c>
      <c r="K9" s="3">
        <f>'Balance Sheet (normal)'!O9/'Balance Sheet (normal)'!P9</f>
        <v>0.59469307008031835</v>
      </c>
      <c r="L9" s="3">
        <v>0.1556809131376623</v>
      </c>
      <c r="M9" s="3">
        <v>9.7624374281516935E-2</v>
      </c>
    </row>
    <row r="10" spans="1:13" x14ac:dyDescent="0.45">
      <c r="A10" s="1" t="s">
        <v>83</v>
      </c>
      <c r="B10" s="3">
        <v>0.20455759206276061</v>
      </c>
      <c r="C10" s="3">
        <v>0.1197308940902809</v>
      </c>
      <c r="D10" s="3">
        <v>0.1084124063313219</v>
      </c>
      <c r="E10" s="3">
        <f>'Income Statement (normal)'!J10/'Income Statement (normal)'!B10</f>
        <v>3.9806605283102994E-2</v>
      </c>
      <c r="F10" s="3">
        <f>'Income Statement (normal)'!K10/'Income Statement (normal)'!B10</f>
        <v>4.5020092689376685E-2</v>
      </c>
      <c r="G10" s="3">
        <f>'Income Statement (normal)'!M10/'Income Statement (normal)'!B10</f>
        <v>8.4826697972479673E-2</v>
      </c>
      <c r="H10" s="2">
        <v>0.95644613346360541</v>
      </c>
      <c r="I10" s="2">
        <f>'Income Statement (normal)'!B10/'Balance Sheet (normal)'!E10</f>
        <v>9.2591386282979844</v>
      </c>
      <c r="J10" s="3">
        <f>'Balance Sheet (normal)'!O10/'Balance Sheet (normal)'!I10</f>
        <v>0.37779678817514317</v>
      </c>
      <c r="K10" s="3">
        <f>'Balance Sheet (normal)'!O10/'Balance Sheet (normal)'!P10</f>
        <v>0.60719196075363346</v>
      </c>
      <c r="L10" s="3">
        <v>0.16665074188698639</v>
      </c>
      <c r="M10" s="3">
        <v>0.1036906268550781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"/>
  <sheetViews>
    <sheetView workbookViewId="0">
      <selection activeCell="B1" sqref="B1:B1048576"/>
    </sheetView>
  </sheetViews>
  <sheetFormatPr defaultRowHeight="14.25" x14ac:dyDescent="0.45"/>
  <cols>
    <col min="2" max="2" width="15" bestFit="1" customWidth="1"/>
    <col min="3" max="3" width="16.9296875" bestFit="1" customWidth="1"/>
  </cols>
  <sheetData>
    <row r="1" spans="1:3" x14ac:dyDescent="0.45">
      <c r="A1" s="1" t="s">
        <v>40</v>
      </c>
      <c r="B1" s="1" t="s">
        <v>53</v>
      </c>
      <c r="C1" s="1" t="s">
        <v>54</v>
      </c>
    </row>
    <row r="2" spans="1:3" x14ac:dyDescent="0.45">
      <c r="A2" s="1">
        <v>2022</v>
      </c>
      <c r="B2" s="2">
        <v>0</v>
      </c>
      <c r="C2" s="2">
        <v>0</v>
      </c>
    </row>
    <row r="3" spans="1:3" x14ac:dyDescent="0.45">
      <c r="A3" s="1">
        <v>2023</v>
      </c>
      <c r="B3" s="3">
        <v>0.18795266504627928</v>
      </c>
      <c r="C3" s="3">
        <v>0.18964010487010408</v>
      </c>
    </row>
    <row r="4" spans="1:3" x14ac:dyDescent="0.45">
      <c r="A4" s="1">
        <v>2024</v>
      </c>
      <c r="B4" s="3">
        <v>9.4757835346635944E-3</v>
      </c>
      <c r="C4" s="3">
        <v>-0.52230532923734474</v>
      </c>
    </row>
    <row r="5" spans="1:3" x14ac:dyDescent="0.45">
      <c r="A5" s="1" t="s">
        <v>78</v>
      </c>
      <c r="B5" s="3">
        <v>0.10272289896611729</v>
      </c>
      <c r="C5" s="3">
        <v>0.29485398995751599</v>
      </c>
    </row>
    <row r="6" spans="1:3" x14ac:dyDescent="0.45">
      <c r="A6" s="1" t="s">
        <v>79</v>
      </c>
      <c r="B6" s="3">
        <v>0.14507310280807612</v>
      </c>
      <c r="C6" s="3">
        <v>0.2048268856215287</v>
      </c>
    </row>
    <row r="7" spans="1:3" x14ac:dyDescent="0.45">
      <c r="A7" s="1" t="s">
        <v>80</v>
      </c>
      <c r="B7" s="3">
        <v>0.18396796186554032</v>
      </c>
      <c r="C7" s="3">
        <v>0.24268723954409618</v>
      </c>
    </row>
    <row r="8" spans="1:3" x14ac:dyDescent="0.45">
      <c r="A8" s="1" t="s">
        <v>81</v>
      </c>
      <c r="B8" s="3">
        <v>0.2744272352546458</v>
      </c>
      <c r="C8" s="3">
        <v>0.33464628661907886</v>
      </c>
    </row>
    <row r="9" spans="1:3" x14ac:dyDescent="0.45">
      <c r="A9" s="1" t="s">
        <v>82</v>
      </c>
      <c r="B9" s="3">
        <v>0.25950302216252519</v>
      </c>
      <c r="C9" s="3">
        <v>0.3163316200807022</v>
      </c>
    </row>
    <row r="10" spans="1:3" x14ac:dyDescent="0.45">
      <c r="A10" s="1" t="s">
        <v>83</v>
      </c>
      <c r="B10" s="3">
        <v>0.2484973872240589</v>
      </c>
      <c r="C10" s="3">
        <v>0.30239744928904266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B1" sqref="B1:B1048576"/>
    </sheetView>
  </sheetViews>
  <sheetFormatPr defaultRowHeight="14.25" x14ac:dyDescent="0.45"/>
  <cols>
    <col min="2" max="2" width="15.33203125" bestFit="1" customWidth="1"/>
    <col min="3" max="3" width="14.73046875" bestFit="1" customWidth="1"/>
    <col min="4" max="4" width="11.73046875" bestFit="1" customWidth="1"/>
  </cols>
  <sheetData>
    <row r="1" spans="1:4" x14ac:dyDescent="0.45">
      <c r="A1" s="1" t="s">
        <v>40</v>
      </c>
      <c r="B1" s="1" t="s">
        <v>75</v>
      </c>
      <c r="C1" s="1" t="s">
        <v>76</v>
      </c>
      <c r="D1" s="1" t="s">
        <v>77</v>
      </c>
    </row>
    <row r="2" spans="1:4" x14ac:dyDescent="0.45">
      <c r="A2" s="1">
        <v>2022</v>
      </c>
      <c r="B2" s="2">
        <v>81462</v>
      </c>
      <c r="C2">
        <v>81.462000000000003</v>
      </c>
      <c r="D2">
        <v>0</v>
      </c>
    </row>
    <row r="3" spans="1:4" x14ac:dyDescent="0.45">
      <c r="A3" s="1">
        <v>2023</v>
      </c>
      <c r="B3" s="2">
        <v>96773</v>
      </c>
      <c r="C3">
        <v>96.772999999999996</v>
      </c>
      <c r="D3">
        <v>18.795266504627929</v>
      </c>
    </row>
    <row r="4" spans="1:4" x14ac:dyDescent="0.45">
      <c r="A4" s="1">
        <v>2024</v>
      </c>
      <c r="B4" s="2">
        <v>97690</v>
      </c>
      <c r="C4">
        <v>97.69</v>
      </c>
      <c r="D4">
        <v>0.94757835346635944</v>
      </c>
    </row>
    <row r="5" spans="1:4" x14ac:dyDescent="0.45">
      <c r="A5" s="1" t="s">
        <v>78</v>
      </c>
      <c r="B5" s="2">
        <v>107725</v>
      </c>
      <c r="C5">
        <v>107.72499999999999</v>
      </c>
      <c r="D5">
        <v>10.27228989661173</v>
      </c>
    </row>
    <row r="6" spans="1:4" x14ac:dyDescent="0.45">
      <c r="A6" s="1" t="s">
        <v>79</v>
      </c>
      <c r="B6" s="2">
        <v>123353</v>
      </c>
      <c r="C6">
        <v>123.35299999999999</v>
      </c>
      <c r="D6">
        <v>14.50731028080761</v>
      </c>
    </row>
    <row r="7" spans="1:4" x14ac:dyDescent="0.45">
      <c r="A7" s="1" t="s">
        <v>80</v>
      </c>
      <c r="B7" s="2">
        <v>146046</v>
      </c>
      <c r="C7">
        <v>146.04599999999999</v>
      </c>
      <c r="D7">
        <v>18.396796186554031</v>
      </c>
    </row>
    <row r="8" spans="1:4" x14ac:dyDescent="0.45">
      <c r="A8" s="1" t="s">
        <v>81</v>
      </c>
      <c r="B8" s="2">
        <v>186125</v>
      </c>
      <c r="C8">
        <v>186.125</v>
      </c>
      <c r="D8">
        <v>27.442723525464579</v>
      </c>
    </row>
    <row r="9" spans="1:4" x14ac:dyDescent="0.45">
      <c r="A9" s="1" t="s">
        <v>82</v>
      </c>
      <c r="B9" s="2">
        <v>234425</v>
      </c>
      <c r="C9">
        <v>234.42500000000001</v>
      </c>
      <c r="D9">
        <v>25.950302216252521</v>
      </c>
    </row>
    <row r="10" spans="1:4" x14ac:dyDescent="0.45">
      <c r="A10" s="1" t="s">
        <v>83</v>
      </c>
      <c r="B10" s="2">
        <v>292679</v>
      </c>
      <c r="C10">
        <v>292.67899999999997</v>
      </c>
      <c r="D10">
        <v>24.849738722405888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D14" sqref="D14"/>
    </sheetView>
  </sheetViews>
  <sheetFormatPr defaultRowHeight="14.25" x14ac:dyDescent="0.45"/>
  <cols>
    <col min="1" max="1" width="28.19921875" bestFit="1" customWidth="1"/>
    <col min="2" max="2" width="8.19921875" bestFit="1" customWidth="1"/>
  </cols>
  <sheetData>
    <row r="1" spans="1:2" x14ac:dyDescent="0.45">
      <c r="A1" s="1" t="s">
        <v>55</v>
      </c>
      <c r="B1" s="1" t="s">
        <v>56</v>
      </c>
    </row>
    <row r="2" spans="1:2" x14ac:dyDescent="0.45">
      <c r="A2" t="s">
        <v>57</v>
      </c>
      <c r="B2" t="s">
        <v>58</v>
      </c>
    </row>
    <row r="3" spans="1:2" x14ac:dyDescent="0.45">
      <c r="A3" t="s">
        <v>59</v>
      </c>
      <c r="B3" t="s">
        <v>60</v>
      </c>
    </row>
    <row r="4" spans="1:2" x14ac:dyDescent="0.45">
      <c r="A4" t="s">
        <v>61</v>
      </c>
      <c r="B4" t="s">
        <v>62</v>
      </c>
    </row>
    <row r="5" spans="1:2" x14ac:dyDescent="0.45">
      <c r="A5" t="s">
        <v>63</v>
      </c>
      <c r="B5" t="s">
        <v>64</v>
      </c>
    </row>
    <row r="6" spans="1:2" x14ac:dyDescent="0.45">
      <c r="A6" t="s">
        <v>65</v>
      </c>
      <c r="B6" t="s">
        <v>66</v>
      </c>
    </row>
    <row r="7" spans="1:2" x14ac:dyDescent="0.45">
      <c r="A7" t="s">
        <v>67</v>
      </c>
      <c r="B7" t="s">
        <v>68</v>
      </c>
    </row>
    <row r="8" spans="1:2" x14ac:dyDescent="0.45">
      <c r="A8" t="s">
        <v>69</v>
      </c>
      <c r="B8" t="s">
        <v>70</v>
      </c>
    </row>
    <row r="9" spans="1:2" x14ac:dyDescent="0.45">
      <c r="A9" t="s">
        <v>71</v>
      </c>
      <c r="B9" t="s">
        <v>72</v>
      </c>
    </row>
    <row r="10" spans="1:2" x14ac:dyDescent="0.45">
      <c r="A10" t="s">
        <v>73</v>
      </c>
      <c r="B10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Income Statement (normal)</vt:lpstr>
      <vt:lpstr>Balance Sheet (normal)</vt:lpstr>
      <vt:lpstr>Cash Flow (normal)</vt:lpstr>
      <vt:lpstr>Financial Ratios (normal)</vt:lpstr>
      <vt:lpstr>Growth Analysis (normal)</vt:lpstr>
      <vt:lpstr>Revenue Details (normal)</vt:lpstr>
      <vt:lpstr>Executive Summary (normal)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Owen Liu</cp:lastModifiedBy>
  <dcterms:created xsi:type="dcterms:W3CDTF">2026-01-15T14:36:43Z</dcterms:created>
  <dcterms:modified xsi:type="dcterms:W3CDTF">2026-01-16T12:34:33Z</dcterms:modified>
</cp:coreProperties>
</file>