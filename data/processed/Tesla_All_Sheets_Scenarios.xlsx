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408FC60F-5875-46D6-973A-763A1EC97EDB}" xr6:coauthVersionLast="47" xr6:coauthVersionMax="47" xr10:uidLastSave="{00000000-0000-0000-0000-000000000000}"/>
  <bookViews>
    <workbookView xWindow="-98" yWindow="-98" windowWidth="22695" windowHeight="14595" activeTab="3" xr2:uid="{00000000-000D-0000-FFFF-FFFF00000000}"/>
  </bookViews>
  <sheets>
    <sheet name="All_2030业务结构预测" sheetId="1" r:id="rId1"/>
    <sheet name="All_最终合并预测" sheetId="2" r:id="rId2"/>
    <sheet name="All_新增业务预测" sheetId="3" r:id="rId3"/>
    <sheet name="All_传统业务预测" sheetId="4" r:id="rId4"/>
    <sheet name="All_各地区收入预测" sheetId="5" r:id="rId5"/>
    <sheet name="CAGR_Analysis" sheetId="6" r:id="rId6"/>
  </sheets>
  <definedNames>
    <definedName name="_xlnm._FilterDatabase" localSheetId="3" hidden="1">All_传统业务预测!$A$1:$F$1</definedName>
    <definedName name="_xlnm._FilterDatabase" localSheetId="4" hidden="1">All_各地区收入预测!$A$1:$H$1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6" l="1"/>
  <c r="D10" i="6"/>
  <c r="D8" i="6"/>
  <c r="D3" i="6"/>
  <c r="D4" i="6"/>
  <c r="D5" i="6"/>
  <c r="D6" i="6"/>
  <c r="D7" i="6"/>
  <c r="D2" i="6"/>
  <c r="J3" i="6"/>
  <c r="J4" i="6"/>
  <c r="J2" i="6"/>
  <c r="I3" i="6"/>
  <c r="I4" i="6"/>
  <c r="I2" i="6"/>
</calcChain>
</file>

<file path=xl/sharedStrings.xml><?xml version="1.0" encoding="utf-8"?>
<sst xmlns="http://schemas.openxmlformats.org/spreadsheetml/2006/main" count="641" uniqueCount="69">
  <si>
    <t>业务类型</t>
  </si>
  <si>
    <t>Scenario</t>
  </si>
  <si>
    <t>收入（亿美元）</t>
  </si>
  <si>
    <t>占比</t>
  </si>
  <si>
    <t>汽车业务</t>
  </si>
  <si>
    <t>保守</t>
  </si>
  <si>
    <t>能源业务</t>
  </si>
  <si>
    <t>服务业务</t>
  </si>
  <si>
    <t>Optimus</t>
  </si>
  <si>
    <t>Robotaxi</t>
  </si>
  <si>
    <t>总收入</t>
  </si>
  <si>
    <t>null</t>
  </si>
  <si>
    <t>乐观</t>
  </si>
  <si>
    <t>汽车业务业务</t>
  </si>
  <si>
    <t>正常</t>
  </si>
  <si>
    <t>能源业务业务</t>
  </si>
  <si>
    <t>服务业务业务</t>
  </si>
  <si>
    <t>Optimus业务</t>
  </si>
  <si>
    <t>Robotaxi业务</t>
  </si>
  <si>
    <t>总收入业务</t>
  </si>
  <si>
    <t>年份</t>
  </si>
  <si>
    <t>YoY增长</t>
  </si>
  <si>
    <t>2022</t>
  </si>
  <si>
    <t>-</t>
  </si>
  <si>
    <t>2023</t>
  </si>
  <si>
    <t>18.8%</t>
  </si>
  <si>
    <t>2024</t>
  </si>
  <si>
    <t>0.9%</t>
  </si>
  <si>
    <t>2025</t>
  </si>
  <si>
    <t>10.3%</t>
  </si>
  <si>
    <t>2026</t>
  </si>
  <si>
    <t>14.5%</t>
  </si>
  <si>
    <t>2027</t>
  </si>
  <si>
    <t>18.4%</t>
  </si>
  <si>
    <t>2028</t>
  </si>
  <si>
    <t>27.4%</t>
  </si>
  <si>
    <t>2029</t>
  </si>
  <si>
    <t>26.0%</t>
  </si>
  <si>
    <t>2030</t>
  </si>
  <si>
    <t>24.8%</t>
  </si>
  <si>
    <t>新业务总计</t>
  </si>
  <si>
    <t>传统业务总计</t>
  </si>
  <si>
    <t>地区</t>
  </si>
  <si>
    <t>收入</t>
  </si>
  <si>
    <t>美国</t>
  </si>
  <si>
    <t>中国</t>
  </si>
  <si>
    <t>欧洲</t>
  </si>
  <si>
    <t>亚太</t>
  </si>
  <si>
    <t>中东</t>
  </si>
  <si>
    <t>其他</t>
  </si>
  <si>
    <t>总计</t>
  </si>
  <si>
    <t>Source_Sheet</t>
  </si>
  <si>
    <t>Period</t>
  </si>
  <si>
    <t>CAGR</t>
  </si>
  <si>
    <t>First_Year</t>
  </si>
  <si>
    <t>First_Year_Value</t>
  </si>
  <si>
    <t>Last_Year</t>
  </si>
  <si>
    <t>Last_Year_Value</t>
  </si>
  <si>
    <t>Total_Growth</t>
  </si>
  <si>
    <t>Growth_Rate</t>
  </si>
  <si>
    <t>E_各地区收入预测</t>
  </si>
  <si>
    <t>F_传统业务预测</t>
  </si>
  <si>
    <t>G_新增业务预测</t>
  </si>
  <si>
    <t>2024-2030</t>
  </si>
  <si>
    <t>2027-2030</t>
  </si>
  <si>
    <t>H_最终合并预测</t>
  </si>
  <si>
    <t>总收入（亿美元）</t>
  </si>
  <si>
    <t>新增业务（亿美元）</t>
  </si>
  <si>
    <t>传统业务（亿美元）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</si>
</sst>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43" fontId="2" fillId="0" borderId="1" xfId="1" applyFont="1" applyBorder="1" applyAlignment="1">
      <alignment horizontal="center" vertical="center" wrapText="1"/>
    </xf>
    <xf numFmtId="43" fontId="0" fillId="0" borderId="1" xfId="1" applyFont="1" applyBorder="1" applyAlignment="1">
      <alignment vertical="center" wrapText="1"/>
    </xf>
    <xf numFmtId="43" fontId="0" fillId="0" borderId="0" xfId="1" applyFont="1"/>
    <xf numFmtId="9" fontId="0" fillId="0" borderId="1" xfId="2" applyFont="1" applyBorder="1" applyAlignment="1">
      <alignment vertical="center" wrapText="1"/>
    </xf>
    <xf numFmtId="43" fontId="1" fillId="0" borderId="0" xfId="1" applyFo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D29" sqref="D29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1" t="s">
        <v>5</v>
      </c>
      <c r="C2" s="9">
        <v>1105.83</v>
      </c>
      <c r="D2" s="1">
        <v>0.41981146580383288</v>
      </c>
    </row>
    <row r="3" spans="1:4" x14ac:dyDescent="0.45">
      <c r="A3" s="1" t="s">
        <v>6</v>
      </c>
      <c r="B3" s="1" t="s">
        <v>5</v>
      </c>
      <c r="C3" s="9">
        <v>698.13900000000001</v>
      </c>
      <c r="D3" s="1">
        <v>0.26503780592389614</v>
      </c>
    </row>
    <row r="4" spans="1:4" x14ac:dyDescent="0.45">
      <c r="A4" s="1" t="s">
        <v>7</v>
      </c>
      <c r="B4" s="1" t="s">
        <v>5</v>
      </c>
      <c r="C4" s="9">
        <v>380.142</v>
      </c>
      <c r="D4" s="1">
        <v>0.14431510289429716</v>
      </c>
    </row>
    <row r="5" spans="1:4" x14ac:dyDescent="0.45">
      <c r="A5" s="1" t="s">
        <v>8</v>
      </c>
      <c r="B5" s="1" t="s">
        <v>5</v>
      </c>
      <c r="C5" s="9">
        <v>270</v>
      </c>
      <c r="D5" s="1">
        <v>0.10250137522678429</v>
      </c>
    </row>
    <row r="6" spans="1:4" x14ac:dyDescent="0.45">
      <c r="A6" s="1" t="s">
        <v>9</v>
      </c>
      <c r="B6" s="1" t="s">
        <v>5</v>
      </c>
      <c r="C6" s="9">
        <v>180</v>
      </c>
      <c r="D6" s="1">
        <v>6.8334250151189532E-2</v>
      </c>
    </row>
    <row r="7" spans="1:4" x14ac:dyDescent="0.45">
      <c r="A7" s="1" t="s">
        <v>10</v>
      </c>
      <c r="B7" s="1" t="s">
        <v>5</v>
      </c>
      <c r="C7" s="9">
        <v>2634.1109999999999</v>
      </c>
      <c r="D7" s="1" t="s">
        <v>11</v>
      </c>
    </row>
    <row r="8" spans="1:4" x14ac:dyDescent="0.45">
      <c r="A8" s="1" t="s">
        <v>4</v>
      </c>
      <c r="B8" s="1" t="s">
        <v>12</v>
      </c>
      <c r="C8" s="9">
        <v>1413.0050000000001</v>
      </c>
      <c r="D8" s="1">
        <v>0.41981146580383288</v>
      </c>
    </row>
    <row r="9" spans="1:4" x14ac:dyDescent="0.45">
      <c r="A9" s="1" t="s">
        <v>6</v>
      </c>
      <c r="B9" s="1" t="s">
        <v>12</v>
      </c>
      <c r="C9" s="9">
        <v>892.06700000000001</v>
      </c>
      <c r="D9" s="1">
        <v>0.26503780592389614</v>
      </c>
    </row>
    <row r="10" spans="1:4" x14ac:dyDescent="0.45">
      <c r="A10" s="1" t="s">
        <v>7</v>
      </c>
      <c r="B10" s="1" t="s">
        <v>12</v>
      </c>
      <c r="C10" s="9">
        <v>485.73700000000002</v>
      </c>
      <c r="D10" s="1">
        <v>0.14431510289429716</v>
      </c>
    </row>
    <row r="11" spans="1:4" x14ac:dyDescent="0.45">
      <c r="A11" s="1" t="s">
        <v>8</v>
      </c>
      <c r="B11" s="1" t="s">
        <v>12</v>
      </c>
      <c r="C11" s="9">
        <v>345</v>
      </c>
      <c r="D11" s="1">
        <v>0.10250137522678429</v>
      </c>
    </row>
    <row r="12" spans="1:4" x14ac:dyDescent="0.45">
      <c r="A12" s="1" t="s">
        <v>9</v>
      </c>
      <c r="B12" s="1" t="s">
        <v>12</v>
      </c>
      <c r="C12" s="9">
        <v>230</v>
      </c>
      <c r="D12" s="1">
        <v>6.8334250151189532E-2</v>
      </c>
    </row>
    <row r="13" spans="1:4" x14ac:dyDescent="0.45">
      <c r="A13" s="1" t="s">
        <v>10</v>
      </c>
      <c r="B13" s="1" t="s">
        <v>12</v>
      </c>
      <c r="C13" s="9">
        <v>3365.8090000000002</v>
      </c>
      <c r="D13" s="1" t="s">
        <v>11</v>
      </c>
    </row>
    <row r="14" spans="1:4" x14ac:dyDescent="0.45">
      <c r="A14" s="1" t="s">
        <v>13</v>
      </c>
      <c r="B14" s="1" t="s">
        <v>14</v>
      </c>
      <c r="C14" s="9">
        <v>1228.7</v>
      </c>
      <c r="D14" s="1">
        <v>0.42</v>
      </c>
    </row>
    <row r="15" spans="1:4" x14ac:dyDescent="0.45">
      <c r="A15" s="1" t="s">
        <v>15</v>
      </c>
      <c r="B15" s="1" t="s">
        <v>14</v>
      </c>
      <c r="C15" s="9">
        <v>775.71</v>
      </c>
      <c r="D15" s="1">
        <v>0.26500000000000001</v>
      </c>
    </row>
    <row r="16" spans="1:4" x14ac:dyDescent="0.45">
      <c r="A16" s="1" t="s">
        <v>16</v>
      </c>
      <c r="B16" s="1" t="s">
        <v>14</v>
      </c>
      <c r="C16" s="9">
        <v>422.38</v>
      </c>
      <c r="D16" s="1">
        <v>0.14399999999999999</v>
      </c>
    </row>
    <row r="17" spans="1:4" x14ac:dyDescent="0.45">
      <c r="A17" s="1" t="s">
        <v>17</v>
      </c>
      <c r="B17" s="1" t="s">
        <v>14</v>
      </c>
      <c r="C17" s="9">
        <v>300</v>
      </c>
      <c r="D17" s="1">
        <v>0.10299999999999999</v>
      </c>
    </row>
    <row r="18" spans="1:4" x14ac:dyDescent="0.45">
      <c r="A18" s="1" t="s">
        <v>18</v>
      </c>
      <c r="B18" s="1" t="s">
        <v>14</v>
      </c>
      <c r="C18" s="9">
        <v>200</v>
      </c>
      <c r="D18" s="1">
        <v>6.8000000000000005E-2</v>
      </c>
    </row>
    <row r="19" spans="1:4" x14ac:dyDescent="0.45">
      <c r="A19" s="1" t="s">
        <v>19</v>
      </c>
      <c r="B19" s="1" t="s">
        <v>14</v>
      </c>
      <c r="C19" s="9">
        <v>2926.79</v>
      </c>
      <c r="D19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EC85-340A-4345-B113-D2EFDAA9FDDA}">
  <dimension ref="A1:F28"/>
  <sheetViews>
    <sheetView workbookViewId="0">
      <selection activeCell="E1" sqref="E1"/>
    </sheetView>
  </sheetViews>
  <sheetFormatPr defaultRowHeight="14.25" x14ac:dyDescent="0.45"/>
  <cols>
    <col min="5" max="5" width="16.265625" bestFit="1" customWidth="1"/>
  </cols>
  <sheetData>
    <row r="1" spans="1:6" x14ac:dyDescent="0.45">
      <c r="A1" s="1" t="s">
        <v>20</v>
      </c>
      <c r="B1" s="1" t="s">
        <v>1</v>
      </c>
      <c r="C1" s="1" t="s">
        <v>68</v>
      </c>
      <c r="D1" s="1" t="s">
        <v>67</v>
      </c>
      <c r="E1" s="1" t="s">
        <v>66</v>
      </c>
      <c r="F1" s="1" t="s">
        <v>21</v>
      </c>
    </row>
    <row r="2" spans="1:6" x14ac:dyDescent="0.45">
      <c r="A2" s="1" t="s">
        <v>22</v>
      </c>
      <c r="B2" s="1" t="s">
        <v>14</v>
      </c>
      <c r="C2" s="9">
        <v>814.62</v>
      </c>
      <c r="D2" s="9">
        <v>0</v>
      </c>
      <c r="E2" s="9">
        <v>814.62</v>
      </c>
      <c r="F2" s="1" t="s">
        <v>23</v>
      </c>
    </row>
    <row r="3" spans="1:6" x14ac:dyDescent="0.45">
      <c r="A3" s="1" t="s">
        <v>24</v>
      </c>
      <c r="B3" s="1" t="s">
        <v>14</v>
      </c>
      <c r="C3" s="9">
        <v>967.73</v>
      </c>
      <c r="D3" s="9">
        <v>0</v>
      </c>
      <c r="E3" s="9">
        <v>967.73</v>
      </c>
      <c r="F3" s="1" t="s">
        <v>25</v>
      </c>
    </row>
    <row r="4" spans="1:6" x14ac:dyDescent="0.45">
      <c r="A4" s="1" t="s">
        <v>26</v>
      </c>
      <c r="B4" s="1" t="s">
        <v>14</v>
      </c>
      <c r="C4" s="9">
        <v>976.9</v>
      </c>
      <c r="D4" s="9">
        <v>0</v>
      </c>
      <c r="E4" s="9">
        <v>976.9</v>
      </c>
      <c r="F4" s="1" t="s">
        <v>27</v>
      </c>
    </row>
    <row r="5" spans="1:6" x14ac:dyDescent="0.45">
      <c r="A5" s="1" t="s">
        <v>28</v>
      </c>
      <c r="B5" s="1" t="s">
        <v>14</v>
      </c>
      <c r="C5" s="9">
        <v>1077.25</v>
      </c>
      <c r="D5" s="9">
        <v>0</v>
      </c>
      <c r="E5" s="9">
        <v>1077.25</v>
      </c>
      <c r="F5" s="1" t="s">
        <v>29</v>
      </c>
    </row>
    <row r="6" spans="1:6" x14ac:dyDescent="0.45">
      <c r="A6" s="1" t="s">
        <v>30</v>
      </c>
      <c r="B6" s="1" t="s">
        <v>14</v>
      </c>
      <c r="C6" s="9">
        <v>1230.53</v>
      </c>
      <c r="D6" s="9">
        <v>3</v>
      </c>
      <c r="E6" s="9">
        <v>1233.53</v>
      </c>
      <c r="F6" s="1" t="s">
        <v>31</v>
      </c>
    </row>
    <row r="7" spans="1:6" x14ac:dyDescent="0.45">
      <c r="A7" s="1" t="s">
        <v>32</v>
      </c>
      <c r="B7" s="1" t="s">
        <v>14</v>
      </c>
      <c r="C7" s="9">
        <v>1435.46</v>
      </c>
      <c r="D7" s="9">
        <v>25</v>
      </c>
      <c r="E7" s="9">
        <v>1460.46</v>
      </c>
      <c r="F7" s="1" t="s">
        <v>33</v>
      </c>
    </row>
    <row r="8" spans="1:6" x14ac:dyDescent="0.45">
      <c r="A8" s="1" t="s">
        <v>34</v>
      </c>
      <c r="B8" s="1" t="s">
        <v>14</v>
      </c>
      <c r="C8" s="9">
        <v>1691.25</v>
      </c>
      <c r="D8" s="9">
        <v>170</v>
      </c>
      <c r="E8" s="9">
        <v>1861.25</v>
      </c>
      <c r="F8" s="1" t="s">
        <v>35</v>
      </c>
    </row>
    <row r="9" spans="1:6" x14ac:dyDescent="0.45">
      <c r="A9" s="1" t="s">
        <v>36</v>
      </c>
      <c r="B9" s="1" t="s">
        <v>14</v>
      </c>
      <c r="C9" s="9">
        <v>2014.25</v>
      </c>
      <c r="D9" s="9">
        <v>330</v>
      </c>
      <c r="E9" s="9">
        <v>2344.25</v>
      </c>
      <c r="F9" s="1" t="s">
        <v>37</v>
      </c>
    </row>
    <row r="10" spans="1:6" x14ac:dyDescent="0.45">
      <c r="A10" s="1" t="s">
        <v>38</v>
      </c>
      <c r="B10" s="1" t="s">
        <v>14</v>
      </c>
      <c r="C10" s="9">
        <v>2426.79</v>
      </c>
      <c r="D10" s="9">
        <v>500</v>
      </c>
      <c r="E10" s="9">
        <v>2926.79</v>
      </c>
      <c r="F10" s="1" t="s">
        <v>39</v>
      </c>
    </row>
    <row r="11" spans="1:6" x14ac:dyDescent="0.45">
      <c r="A11" s="1" t="s">
        <v>22</v>
      </c>
      <c r="B11" s="1" t="s">
        <v>12</v>
      </c>
      <c r="C11" s="9">
        <v>936.81299999999999</v>
      </c>
      <c r="D11" s="9">
        <v>0</v>
      </c>
      <c r="E11" s="9">
        <v>936.81299999999999</v>
      </c>
      <c r="F11" s="1" t="s">
        <v>23</v>
      </c>
    </row>
    <row r="12" spans="1:6" x14ac:dyDescent="0.45">
      <c r="A12" s="1" t="s">
        <v>24</v>
      </c>
      <c r="B12" s="1" t="s">
        <v>12</v>
      </c>
      <c r="C12" s="9">
        <v>1112.8895</v>
      </c>
      <c r="D12" s="9">
        <v>0</v>
      </c>
      <c r="E12" s="9">
        <v>1112.8895</v>
      </c>
      <c r="F12" s="1" t="s">
        <v>25</v>
      </c>
    </row>
    <row r="13" spans="1:6" x14ac:dyDescent="0.45">
      <c r="A13" s="1" t="s">
        <v>26</v>
      </c>
      <c r="B13" s="1" t="s">
        <v>12</v>
      </c>
      <c r="C13" s="9">
        <v>1123.4349999999999</v>
      </c>
      <c r="D13" s="9">
        <v>0</v>
      </c>
      <c r="E13" s="9">
        <v>1123.4349999999999</v>
      </c>
      <c r="F13" s="1" t="s">
        <v>27</v>
      </c>
    </row>
    <row r="14" spans="1:6" x14ac:dyDescent="0.45">
      <c r="A14" s="1" t="s">
        <v>28</v>
      </c>
      <c r="B14" s="1" t="s">
        <v>12</v>
      </c>
      <c r="C14" s="9">
        <v>1238.8375000000001</v>
      </c>
      <c r="D14" s="9">
        <v>0</v>
      </c>
      <c r="E14" s="9">
        <v>1238.8375000000001</v>
      </c>
      <c r="F14" s="1" t="s">
        <v>29</v>
      </c>
    </row>
    <row r="15" spans="1:6" x14ac:dyDescent="0.45">
      <c r="A15" s="1" t="s">
        <v>30</v>
      </c>
      <c r="B15" s="1" t="s">
        <v>12</v>
      </c>
      <c r="C15" s="9">
        <v>1415.1095</v>
      </c>
      <c r="D15" s="9">
        <v>3.45</v>
      </c>
      <c r="E15" s="9">
        <v>1418.5595000000001</v>
      </c>
      <c r="F15" s="1" t="s">
        <v>31</v>
      </c>
    </row>
    <row r="16" spans="1:6" x14ac:dyDescent="0.45">
      <c r="A16" s="1" t="s">
        <v>32</v>
      </c>
      <c r="B16" s="1" t="s">
        <v>12</v>
      </c>
      <c r="C16" s="9">
        <v>1650.779</v>
      </c>
      <c r="D16" s="9">
        <v>28.75</v>
      </c>
      <c r="E16" s="9">
        <v>1679.529</v>
      </c>
      <c r="F16" s="1" t="s">
        <v>33</v>
      </c>
    </row>
    <row r="17" spans="1:6" x14ac:dyDescent="0.45">
      <c r="A17" s="1" t="s">
        <v>34</v>
      </c>
      <c r="B17" s="1" t="s">
        <v>12</v>
      </c>
      <c r="C17" s="9">
        <v>1944.9375</v>
      </c>
      <c r="D17" s="9">
        <v>195.5</v>
      </c>
      <c r="E17" s="9">
        <v>2140.4375</v>
      </c>
      <c r="F17" s="1" t="s">
        <v>35</v>
      </c>
    </row>
    <row r="18" spans="1:6" x14ac:dyDescent="0.45">
      <c r="A18" s="1" t="s">
        <v>36</v>
      </c>
      <c r="B18" s="1" t="s">
        <v>12</v>
      </c>
      <c r="C18" s="9">
        <v>2316.3874999999998</v>
      </c>
      <c r="D18" s="9">
        <v>379.49999999999989</v>
      </c>
      <c r="E18" s="9">
        <v>2695.8874999999998</v>
      </c>
      <c r="F18" s="1" t="s">
        <v>37</v>
      </c>
    </row>
    <row r="19" spans="1:6" x14ac:dyDescent="0.45">
      <c r="A19" s="1" t="s">
        <v>38</v>
      </c>
      <c r="B19" s="1" t="s">
        <v>12</v>
      </c>
      <c r="C19" s="9">
        <v>2790.8085000000001</v>
      </c>
      <c r="D19" s="9">
        <v>575</v>
      </c>
      <c r="E19" s="9">
        <v>3365.8085000000001</v>
      </c>
      <c r="F19" s="1" t="s">
        <v>39</v>
      </c>
    </row>
    <row r="20" spans="1:6" x14ac:dyDescent="0.45">
      <c r="A20" s="1" t="s">
        <v>22</v>
      </c>
      <c r="B20" s="1" t="s">
        <v>5</v>
      </c>
      <c r="C20" s="9">
        <v>733.15800000000002</v>
      </c>
      <c r="D20" s="9">
        <v>0</v>
      </c>
      <c r="E20" s="9">
        <v>733.15800000000002</v>
      </c>
      <c r="F20" s="1" t="s">
        <v>23</v>
      </c>
    </row>
    <row r="21" spans="1:6" x14ac:dyDescent="0.45">
      <c r="A21" s="1" t="s">
        <v>24</v>
      </c>
      <c r="B21" s="1" t="s">
        <v>5</v>
      </c>
      <c r="C21" s="9">
        <v>870.95699999999999</v>
      </c>
      <c r="D21" s="9">
        <v>0</v>
      </c>
      <c r="E21" s="9">
        <v>870.95699999999999</v>
      </c>
      <c r="F21" s="1" t="s">
        <v>25</v>
      </c>
    </row>
    <row r="22" spans="1:6" x14ac:dyDescent="0.45">
      <c r="A22" s="1" t="s">
        <v>26</v>
      </c>
      <c r="B22" s="1" t="s">
        <v>5</v>
      </c>
      <c r="C22" s="9">
        <v>879.21</v>
      </c>
      <c r="D22" s="9">
        <v>0</v>
      </c>
      <c r="E22" s="9">
        <v>879.21</v>
      </c>
      <c r="F22" s="1" t="s">
        <v>27</v>
      </c>
    </row>
    <row r="23" spans="1:6" x14ac:dyDescent="0.45">
      <c r="A23" s="1" t="s">
        <v>28</v>
      </c>
      <c r="B23" s="1" t="s">
        <v>5</v>
      </c>
      <c r="C23" s="9">
        <v>969.52499999999998</v>
      </c>
      <c r="D23" s="9">
        <v>0</v>
      </c>
      <c r="E23" s="9">
        <v>969.52499999999998</v>
      </c>
      <c r="F23" s="1" t="s">
        <v>29</v>
      </c>
    </row>
    <row r="24" spans="1:6" x14ac:dyDescent="0.45">
      <c r="A24" s="1" t="s">
        <v>30</v>
      </c>
      <c r="B24" s="1" t="s">
        <v>5</v>
      </c>
      <c r="C24" s="9">
        <v>1107.4770000000001</v>
      </c>
      <c r="D24" s="9">
        <v>2.7</v>
      </c>
      <c r="E24" s="9">
        <v>1110.1769999999999</v>
      </c>
      <c r="F24" s="1" t="s">
        <v>31</v>
      </c>
    </row>
    <row r="25" spans="1:6" x14ac:dyDescent="0.45">
      <c r="A25" s="1" t="s">
        <v>32</v>
      </c>
      <c r="B25" s="1" t="s">
        <v>5</v>
      </c>
      <c r="C25" s="9">
        <v>1291.914</v>
      </c>
      <c r="D25" s="9">
        <v>22.5</v>
      </c>
      <c r="E25" s="9">
        <v>1314.414</v>
      </c>
      <c r="F25" s="1" t="s">
        <v>33</v>
      </c>
    </row>
    <row r="26" spans="1:6" x14ac:dyDescent="0.45">
      <c r="A26" s="1" t="s">
        <v>34</v>
      </c>
      <c r="B26" s="1" t="s">
        <v>5</v>
      </c>
      <c r="C26" s="9">
        <v>1522.125</v>
      </c>
      <c r="D26" s="9">
        <v>153</v>
      </c>
      <c r="E26" s="9">
        <v>1675.125</v>
      </c>
      <c r="F26" s="1" t="s">
        <v>35</v>
      </c>
    </row>
    <row r="27" spans="1:6" x14ac:dyDescent="0.45">
      <c r="A27" s="1" t="s">
        <v>36</v>
      </c>
      <c r="B27" s="1" t="s">
        <v>5</v>
      </c>
      <c r="C27" s="9">
        <v>1812.825</v>
      </c>
      <c r="D27" s="9">
        <v>297</v>
      </c>
      <c r="E27" s="9">
        <v>2109.8249999999998</v>
      </c>
      <c r="F27" s="1" t="s">
        <v>37</v>
      </c>
    </row>
    <row r="28" spans="1:6" x14ac:dyDescent="0.45">
      <c r="A28" s="1" t="s">
        <v>38</v>
      </c>
      <c r="B28" s="1" t="s">
        <v>5</v>
      </c>
      <c r="C28" s="9">
        <v>2184.1109999999999</v>
      </c>
      <c r="D28" s="9">
        <v>450</v>
      </c>
      <c r="E28" s="9">
        <v>2634.1109999999999</v>
      </c>
      <c r="F28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72F9-44E3-4646-9688-DAE54760A371}">
  <dimension ref="A1:E28"/>
  <sheetViews>
    <sheetView workbookViewId="0">
      <selection activeCell="H23" sqref="H23"/>
    </sheetView>
  </sheetViews>
  <sheetFormatPr defaultRowHeight="14.25" x14ac:dyDescent="0.45"/>
  <sheetData>
    <row r="1" spans="1:5" ht="28.5" x14ac:dyDescent="0.45">
      <c r="A1" s="2" t="s">
        <v>20</v>
      </c>
      <c r="B1" s="2" t="s">
        <v>1</v>
      </c>
      <c r="C1" s="2" t="s">
        <v>8</v>
      </c>
      <c r="D1" s="2" t="s">
        <v>9</v>
      </c>
      <c r="E1" s="2" t="s">
        <v>40</v>
      </c>
    </row>
    <row r="2" spans="1:5" x14ac:dyDescent="0.45">
      <c r="A2" s="3">
        <v>2022</v>
      </c>
      <c r="B2" s="3" t="s">
        <v>14</v>
      </c>
      <c r="C2" s="3">
        <v>0</v>
      </c>
      <c r="D2" s="3">
        <v>0</v>
      </c>
      <c r="E2" s="3">
        <v>0</v>
      </c>
    </row>
    <row r="3" spans="1:5" x14ac:dyDescent="0.45">
      <c r="A3" s="3">
        <v>2023</v>
      </c>
      <c r="B3" s="3" t="s">
        <v>14</v>
      </c>
      <c r="C3" s="3">
        <v>0</v>
      </c>
      <c r="D3" s="3">
        <v>0</v>
      </c>
      <c r="E3" s="3">
        <v>0</v>
      </c>
    </row>
    <row r="4" spans="1:5" x14ac:dyDescent="0.45">
      <c r="A4" s="3">
        <v>2024</v>
      </c>
      <c r="B4" s="3" t="s">
        <v>14</v>
      </c>
      <c r="C4" s="3">
        <v>0</v>
      </c>
      <c r="D4" s="3">
        <v>0</v>
      </c>
      <c r="E4" s="3">
        <v>0</v>
      </c>
    </row>
    <row r="5" spans="1:5" x14ac:dyDescent="0.45">
      <c r="A5" s="3">
        <v>2025</v>
      </c>
      <c r="B5" s="3" t="s">
        <v>14</v>
      </c>
      <c r="C5" s="3">
        <v>0</v>
      </c>
      <c r="D5" s="3">
        <v>0</v>
      </c>
      <c r="E5" s="3">
        <v>0</v>
      </c>
    </row>
    <row r="6" spans="1:5" x14ac:dyDescent="0.45">
      <c r="A6" s="3">
        <v>2026</v>
      </c>
      <c r="B6" s="3" t="s">
        <v>14</v>
      </c>
      <c r="C6" s="3">
        <v>3</v>
      </c>
      <c r="D6" s="3">
        <v>0</v>
      </c>
      <c r="E6" s="3">
        <v>3</v>
      </c>
    </row>
    <row r="7" spans="1:5" x14ac:dyDescent="0.45">
      <c r="A7" s="3">
        <v>2027</v>
      </c>
      <c r="B7" s="3" t="s">
        <v>14</v>
      </c>
      <c r="C7" s="3">
        <v>20</v>
      </c>
      <c r="D7" s="3">
        <v>5</v>
      </c>
      <c r="E7" s="3">
        <v>25</v>
      </c>
    </row>
    <row r="8" spans="1:5" x14ac:dyDescent="0.45">
      <c r="A8" s="3">
        <v>2028</v>
      </c>
      <c r="B8" s="3" t="s">
        <v>14</v>
      </c>
      <c r="C8" s="3">
        <v>90</v>
      </c>
      <c r="D8" s="3">
        <v>80</v>
      </c>
      <c r="E8" s="3">
        <v>170</v>
      </c>
    </row>
    <row r="9" spans="1:5" x14ac:dyDescent="0.45">
      <c r="A9" s="3">
        <v>2029</v>
      </c>
      <c r="B9" s="3" t="s">
        <v>14</v>
      </c>
      <c r="C9" s="3">
        <v>200</v>
      </c>
      <c r="D9" s="3">
        <v>130</v>
      </c>
      <c r="E9" s="3">
        <v>330</v>
      </c>
    </row>
    <row r="10" spans="1:5" x14ac:dyDescent="0.45">
      <c r="A10" s="3">
        <v>2030</v>
      </c>
      <c r="B10" s="3" t="s">
        <v>14</v>
      </c>
      <c r="C10" s="3">
        <v>300</v>
      </c>
      <c r="D10" s="3">
        <v>200</v>
      </c>
      <c r="E10" s="3">
        <v>500</v>
      </c>
    </row>
    <row r="11" spans="1:5" x14ac:dyDescent="0.45">
      <c r="A11" s="3">
        <v>2022</v>
      </c>
      <c r="B11" s="3" t="s">
        <v>12</v>
      </c>
      <c r="C11" s="3">
        <v>0</v>
      </c>
      <c r="D11" s="3">
        <v>0</v>
      </c>
      <c r="E11" s="3">
        <v>0</v>
      </c>
    </row>
    <row r="12" spans="1:5" x14ac:dyDescent="0.45">
      <c r="A12" s="3">
        <v>2023</v>
      </c>
      <c r="B12" s="3" t="s">
        <v>12</v>
      </c>
      <c r="C12" s="3">
        <v>0</v>
      </c>
      <c r="D12" s="3">
        <v>0</v>
      </c>
      <c r="E12" s="3">
        <v>0</v>
      </c>
    </row>
    <row r="13" spans="1:5" x14ac:dyDescent="0.45">
      <c r="A13" s="3">
        <v>2024</v>
      </c>
      <c r="B13" s="3" t="s">
        <v>12</v>
      </c>
      <c r="C13" s="3">
        <v>0</v>
      </c>
      <c r="D13" s="3">
        <v>0</v>
      </c>
      <c r="E13" s="3">
        <v>0</v>
      </c>
    </row>
    <row r="14" spans="1:5" x14ac:dyDescent="0.45">
      <c r="A14" s="3">
        <v>2025</v>
      </c>
      <c r="B14" s="3" t="s">
        <v>12</v>
      </c>
      <c r="C14" s="3">
        <v>0</v>
      </c>
      <c r="D14" s="3">
        <v>0</v>
      </c>
      <c r="E14" s="3">
        <v>0</v>
      </c>
    </row>
    <row r="15" spans="1:5" x14ac:dyDescent="0.45">
      <c r="A15" s="3">
        <v>2026</v>
      </c>
      <c r="B15" s="3" t="s">
        <v>12</v>
      </c>
      <c r="C15" s="3">
        <v>3.45</v>
      </c>
      <c r="D15" s="3">
        <v>0</v>
      </c>
      <c r="E15" s="3">
        <v>3.45</v>
      </c>
    </row>
    <row r="16" spans="1:5" x14ac:dyDescent="0.45">
      <c r="A16" s="3">
        <v>2027</v>
      </c>
      <c r="B16" s="3" t="s">
        <v>12</v>
      </c>
      <c r="C16" s="3">
        <v>23</v>
      </c>
      <c r="D16" s="3">
        <v>5.75</v>
      </c>
      <c r="E16" s="3">
        <v>28.75</v>
      </c>
    </row>
    <row r="17" spans="1:5" x14ac:dyDescent="0.45">
      <c r="A17" s="3">
        <v>2028</v>
      </c>
      <c r="B17" s="3" t="s">
        <v>12</v>
      </c>
      <c r="C17" s="3">
        <v>103.5</v>
      </c>
      <c r="D17" s="3">
        <v>92</v>
      </c>
      <c r="E17" s="3">
        <v>195.5</v>
      </c>
    </row>
    <row r="18" spans="1:5" x14ac:dyDescent="0.45">
      <c r="A18" s="3">
        <v>2029</v>
      </c>
      <c r="B18" s="3" t="s">
        <v>12</v>
      </c>
      <c r="C18" s="3">
        <v>230</v>
      </c>
      <c r="D18" s="3">
        <v>149.5</v>
      </c>
      <c r="E18" s="3">
        <v>379.5</v>
      </c>
    </row>
    <row r="19" spans="1:5" x14ac:dyDescent="0.45">
      <c r="A19" s="3">
        <v>2030</v>
      </c>
      <c r="B19" s="3" t="s">
        <v>12</v>
      </c>
      <c r="C19" s="3">
        <v>345</v>
      </c>
      <c r="D19" s="3">
        <v>230</v>
      </c>
      <c r="E19" s="3">
        <v>575</v>
      </c>
    </row>
    <row r="20" spans="1:5" x14ac:dyDescent="0.45">
      <c r="A20" s="3" t="s">
        <v>22</v>
      </c>
      <c r="B20" s="3" t="s">
        <v>5</v>
      </c>
      <c r="C20" s="3">
        <v>0</v>
      </c>
      <c r="D20" s="3">
        <v>0</v>
      </c>
      <c r="E20" s="3">
        <v>0</v>
      </c>
    </row>
    <row r="21" spans="1:5" x14ac:dyDescent="0.45">
      <c r="A21" s="3" t="s">
        <v>24</v>
      </c>
      <c r="B21" s="3" t="s">
        <v>5</v>
      </c>
      <c r="C21" s="3">
        <v>0</v>
      </c>
      <c r="D21" s="3">
        <v>0</v>
      </c>
      <c r="E21" s="3">
        <v>0</v>
      </c>
    </row>
    <row r="22" spans="1:5" x14ac:dyDescent="0.45">
      <c r="A22" s="3" t="s">
        <v>26</v>
      </c>
      <c r="B22" s="3" t="s">
        <v>5</v>
      </c>
      <c r="C22" s="3">
        <v>0</v>
      </c>
      <c r="D22" s="3">
        <v>0</v>
      </c>
      <c r="E22" s="3">
        <v>0</v>
      </c>
    </row>
    <row r="23" spans="1:5" x14ac:dyDescent="0.45">
      <c r="A23" s="3" t="s">
        <v>28</v>
      </c>
      <c r="B23" s="3" t="s">
        <v>5</v>
      </c>
      <c r="C23" s="3">
        <v>0</v>
      </c>
      <c r="D23" s="3">
        <v>0</v>
      </c>
      <c r="E23" s="3">
        <v>0</v>
      </c>
    </row>
    <row r="24" spans="1:5" x14ac:dyDescent="0.45">
      <c r="A24" s="3" t="s">
        <v>30</v>
      </c>
      <c r="B24" s="3" t="s">
        <v>5</v>
      </c>
      <c r="C24" s="3">
        <v>2.7</v>
      </c>
      <c r="D24" s="3">
        <v>0</v>
      </c>
      <c r="E24" s="3">
        <v>2.7</v>
      </c>
    </row>
    <row r="25" spans="1:5" x14ac:dyDescent="0.45">
      <c r="A25" s="3" t="s">
        <v>32</v>
      </c>
      <c r="B25" s="3" t="s">
        <v>5</v>
      </c>
      <c r="C25" s="3">
        <v>18</v>
      </c>
      <c r="D25" s="3">
        <v>4.5</v>
      </c>
      <c r="E25" s="3">
        <v>22.5</v>
      </c>
    </row>
    <row r="26" spans="1:5" x14ac:dyDescent="0.45">
      <c r="A26" s="3" t="s">
        <v>34</v>
      </c>
      <c r="B26" s="3" t="s">
        <v>5</v>
      </c>
      <c r="C26" s="3">
        <v>81</v>
      </c>
      <c r="D26" s="3">
        <v>72</v>
      </c>
      <c r="E26" s="3">
        <v>153</v>
      </c>
    </row>
    <row r="27" spans="1:5" x14ac:dyDescent="0.45">
      <c r="A27" s="3" t="s">
        <v>36</v>
      </c>
      <c r="B27" s="3" t="s">
        <v>5</v>
      </c>
      <c r="C27" s="3">
        <v>180</v>
      </c>
      <c r="D27" s="3">
        <v>117</v>
      </c>
      <c r="E27" s="3">
        <v>297</v>
      </c>
    </row>
    <row r="28" spans="1:5" x14ac:dyDescent="0.45">
      <c r="A28" s="3" t="s">
        <v>38</v>
      </c>
      <c r="B28" s="3" t="s">
        <v>5</v>
      </c>
      <c r="C28" s="3">
        <v>270</v>
      </c>
      <c r="D28" s="3">
        <v>180</v>
      </c>
      <c r="E28" s="3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6313-443C-4907-BE89-2657B126D326}">
  <dimension ref="A1:F28"/>
  <sheetViews>
    <sheetView tabSelected="1" workbookViewId="0">
      <selection activeCell="K10" sqref="K10"/>
    </sheetView>
  </sheetViews>
  <sheetFormatPr defaultRowHeight="14.25" x14ac:dyDescent="0.45"/>
  <sheetData>
    <row r="1" spans="1:6" ht="28.5" x14ac:dyDescent="0.45">
      <c r="A1" s="2" t="s">
        <v>20</v>
      </c>
      <c r="B1" s="2" t="s">
        <v>1</v>
      </c>
      <c r="C1" s="2" t="s">
        <v>4</v>
      </c>
      <c r="D1" s="2" t="s">
        <v>6</v>
      </c>
      <c r="E1" s="2" t="s">
        <v>7</v>
      </c>
      <c r="F1" s="2" t="s">
        <v>41</v>
      </c>
    </row>
    <row r="2" spans="1:6" x14ac:dyDescent="0.45">
      <c r="A2" s="3">
        <v>2022</v>
      </c>
      <c r="B2" s="3" t="s">
        <v>14</v>
      </c>
      <c r="C2" s="6">
        <v>714.62</v>
      </c>
      <c r="D2" s="6">
        <v>39.090000000000003</v>
      </c>
      <c r="E2" s="6">
        <v>60.91</v>
      </c>
      <c r="F2" s="6">
        <v>814.62</v>
      </c>
    </row>
    <row r="3" spans="1:6" x14ac:dyDescent="0.45">
      <c r="A3" s="3">
        <v>2023</v>
      </c>
      <c r="B3" s="3" t="s">
        <v>14</v>
      </c>
      <c r="C3" s="6">
        <v>824.19</v>
      </c>
      <c r="D3" s="6">
        <v>60.35</v>
      </c>
      <c r="E3" s="6">
        <v>83.19</v>
      </c>
      <c r="F3" s="6">
        <v>967.73</v>
      </c>
    </row>
    <row r="4" spans="1:6" x14ac:dyDescent="0.45">
      <c r="A4" s="3">
        <v>2024</v>
      </c>
      <c r="B4" s="3" t="s">
        <v>14</v>
      </c>
      <c r="C4" s="6">
        <v>770.7</v>
      </c>
      <c r="D4" s="6">
        <v>100.86</v>
      </c>
      <c r="E4" s="6">
        <v>105.34</v>
      </c>
      <c r="F4" s="6">
        <v>976.9</v>
      </c>
    </row>
    <row r="5" spans="1:6" x14ac:dyDescent="0.45">
      <c r="A5" s="3">
        <v>2025</v>
      </c>
      <c r="B5" s="3" t="s">
        <v>14</v>
      </c>
      <c r="C5" s="6">
        <v>800.02</v>
      </c>
      <c r="D5" s="6">
        <v>144.22999999999999</v>
      </c>
      <c r="E5" s="6">
        <v>133</v>
      </c>
      <c r="F5" s="6">
        <v>1077.25</v>
      </c>
    </row>
    <row r="6" spans="1:6" x14ac:dyDescent="0.45">
      <c r="A6" s="3">
        <v>2026</v>
      </c>
      <c r="B6" s="3" t="s">
        <v>14</v>
      </c>
      <c r="C6" s="6">
        <v>861.03</v>
      </c>
      <c r="D6" s="6">
        <v>201.92</v>
      </c>
      <c r="E6" s="6">
        <v>167.58</v>
      </c>
      <c r="F6" s="6">
        <v>1230.53</v>
      </c>
    </row>
    <row r="7" spans="1:6" x14ac:dyDescent="0.45">
      <c r="A7" s="3">
        <v>2027</v>
      </c>
      <c r="B7" s="3" t="s">
        <v>14</v>
      </c>
      <c r="C7" s="6">
        <v>941.62</v>
      </c>
      <c r="D7" s="6">
        <v>282.69</v>
      </c>
      <c r="E7" s="6">
        <v>211.15</v>
      </c>
      <c r="F7" s="6">
        <v>1435.46</v>
      </c>
    </row>
    <row r="8" spans="1:6" x14ac:dyDescent="0.45">
      <c r="A8" s="3">
        <v>2028</v>
      </c>
      <c r="B8" s="3" t="s">
        <v>14</v>
      </c>
      <c r="C8" s="6">
        <v>1029.43</v>
      </c>
      <c r="D8" s="6">
        <v>395.77</v>
      </c>
      <c r="E8" s="6">
        <v>266.05</v>
      </c>
      <c r="F8" s="6">
        <v>1691.25</v>
      </c>
    </row>
    <row r="9" spans="1:6" x14ac:dyDescent="0.45">
      <c r="A9" s="3">
        <v>2029</v>
      </c>
      <c r="B9" s="3" t="s">
        <v>14</v>
      </c>
      <c r="C9" s="6">
        <v>1124.95</v>
      </c>
      <c r="D9" s="6">
        <v>554.08000000000004</v>
      </c>
      <c r="E9" s="6">
        <v>335.22</v>
      </c>
      <c r="F9" s="6">
        <v>2014.25</v>
      </c>
    </row>
    <row r="10" spans="1:6" x14ac:dyDescent="0.45">
      <c r="A10" s="3">
        <v>2030</v>
      </c>
      <c r="B10" s="3" t="s">
        <v>14</v>
      </c>
      <c r="C10" s="6">
        <v>1228.7</v>
      </c>
      <c r="D10" s="6">
        <v>775.71</v>
      </c>
      <c r="E10" s="6">
        <v>422.38</v>
      </c>
      <c r="F10" s="6">
        <v>2426.79</v>
      </c>
    </row>
    <row r="11" spans="1:6" x14ac:dyDescent="0.45">
      <c r="A11" s="3">
        <v>2022</v>
      </c>
      <c r="B11" s="3" t="s">
        <v>12</v>
      </c>
      <c r="C11" s="6">
        <v>821.81299999999999</v>
      </c>
      <c r="D11" s="6">
        <v>44.953499999999998</v>
      </c>
      <c r="E11" s="6">
        <v>70.046499999999995</v>
      </c>
      <c r="F11" s="6">
        <v>936.81299999999999</v>
      </c>
    </row>
    <row r="12" spans="1:6" x14ac:dyDescent="0.45">
      <c r="A12" s="3">
        <v>2023</v>
      </c>
      <c r="B12" s="3" t="s">
        <v>12</v>
      </c>
      <c r="C12" s="6">
        <v>947.81849999999997</v>
      </c>
      <c r="D12" s="6">
        <v>69.402500000000003</v>
      </c>
      <c r="E12" s="6">
        <v>95.668499999999995</v>
      </c>
      <c r="F12" s="6">
        <v>1112.8895</v>
      </c>
    </row>
    <row r="13" spans="1:6" x14ac:dyDescent="0.45">
      <c r="A13" s="3">
        <v>2024</v>
      </c>
      <c r="B13" s="3" t="s">
        <v>12</v>
      </c>
      <c r="C13" s="6">
        <v>886.30499999999995</v>
      </c>
      <c r="D13" s="6">
        <v>115.989</v>
      </c>
      <c r="E13" s="6">
        <v>121.14100000000001</v>
      </c>
      <c r="F13" s="6">
        <v>1123.4349999999999</v>
      </c>
    </row>
    <row r="14" spans="1:6" x14ac:dyDescent="0.45">
      <c r="A14" s="3">
        <v>2025</v>
      </c>
      <c r="B14" s="3" t="s">
        <v>12</v>
      </c>
      <c r="C14" s="6">
        <v>920.02300000000002</v>
      </c>
      <c r="D14" s="6">
        <v>165.86449999999999</v>
      </c>
      <c r="E14" s="6">
        <v>152.94999999999999</v>
      </c>
      <c r="F14" s="6">
        <v>1238.8375000000001</v>
      </c>
    </row>
    <row r="15" spans="1:6" x14ac:dyDescent="0.45">
      <c r="A15" s="3">
        <v>2026</v>
      </c>
      <c r="B15" s="3" t="s">
        <v>12</v>
      </c>
      <c r="C15" s="6">
        <v>990.18449999999996</v>
      </c>
      <c r="D15" s="6">
        <v>232.208</v>
      </c>
      <c r="E15" s="6">
        <v>192.71700000000001</v>
      </c>
      <c r="F15" s="6">
        <v>1415.1095</v>
      </c>
    </row>
    <row r="16" spans="1:6" x14ac:dyDescent="0.45">
      <c r="A16" s="3">
        <v>2027</v>
      </c>
      <c r="B16" s="3" t="s">
        <v>12</v>
      </c>
      <c r="C16" s="6">
        <v>1082.8630000000001</v>
      </c>
      <c r="D16" s="6">
        <v>325.09350000000001</v>
      </c>
      <c r="E16" s="6">
        <v>242.82249999999999</v>
      </c>
      <c r="F16" s="6">
        <v>1650.779</v>
      </c>
    </row>
    <row r="17" spans="1:6" x14ac:dyDescent="0.45">
      <c r="A17" s="3">
        <v>2028</v>
      </c>
      <c r="B17" s="3" t="s">
        <v>12</v>
      </c>
      <c r="C17" s="6">
        <v>1183.8444999999999</v>
      </c>
      <c r="D17" s="6">
        <v>455.13549999999998</v>
      </c>
      <c r="E17" s="6">
        <v>305.95749999999998</v>
      </c>
      <c r="F17" s="6">
        <v>1944.9375</v>
      </c>
    </row>
    <row r="18" spans="1:6" x14ac:dyDescent="0.45">
      <c r="A18" s="3">
        <v>2029</v>
      </c>
      <c r="B18" s="3" t="s">
        <v>12</v>
      </c>
      <c r="C18" s="6">
        <v>1293.6925000000001</v>
      </c>
      <c r="D18" s="6">
        <v>637.19200000000001</v>
      </c>
      <c r="E18" s="6">
        <v>385.50299999999999</v>
      </c>
      <c r="F18" s="6">
        <v>2316.3874999999998</v>
      </c>
    </row>
    <row r="19" spans="1:6" x14ac:dyDescent="0.45">
      <c r="A19" s="3">
        <v>2030</v>
      </c>
      <c r="B19" s="3" t="s">
        <v>12</v>
      </c>
      <c r="C19" s="6">
        <v>1413.0050000000001</v>
      </c>
      <c r="D19" s="6">
        <v>892.06650000000002</v>
      </c>
      <c r="E19" s="6">
        <v>485.73700000000002</v>
      </c>
      <c r="F19" s="6">
        <v>2790.8085000000001</v>
      </c>
    </row>
    <row r="20" spans="1:6" x14ac:dyDescent="0.45">
      <c r="A20" s="3" t="s">
        <v>22</v>
      </c>
      <c r="B20" s="3" t="s">
        <v>5</v>
      </c>
      <c r="C20" s="6">
        <v>643.15800000000002</v>
      </c>
      <c r="D20" s="6">
        <v>35.180999999999997</v>
      </c>
      <c r="E20" s="6">
        <v>54.819000000000003</v>
      </c>
      <c r="F20" s="6">
        <v>733.15800000000002</v>
      </c>
    </row>
    <row r="21" spans="1:6" x14ac:dyDescent="0.45">
      <c r="A21" s="3" t="s">
        <v>24</v>
      </c>
      <c r="B21" s="3" t="s">
        <v>5</v>
      </c>
      <c r="C21" s="6">
        <v>741.77100000000007</v>
      </c>
      <c r="D21" s="6">
        <v>54.314999999999998</v>
      </c>
      <c r="E21" s="6">
        <v>74.870999999999995</v>
      </c>
      <c r="F21" s="6">
        <v>870.95699999999999</v>
      </c>
    </row>
    <row r="22" spans="1:6" x14ac:dyDescent="0.45">
      <c r="A22" s="3" t="s">
        <v>26</v>
      </c>
      <c r="B22" s="3" t="s">
        <v>5</v>
      </c>
      <c r="C22" s="6">
        <v>693.63000000000011</v>
      </c>
      <c r="D22" s="6">
        <v>90.774000000000001</v>
      </c>
      <c r="E22" s="6">
        <v>94.806000000000012</v>
      </c>
      <c r="F22" s="6">
        <v>879.21</v>
      </c>
    </row>
    <row r="23" spans="1:6" x14ac:dyDescent="0.45">
      <c r="A23" s="3" t="s">
        <v>28</v>
      </c>
      <c r="B23" s="3" t="s">
        <v>5</v>
      </c>
      <c r="C23" s="6">
        <v>720.01800000000003</v>
      </c>
      <c r="D23" s="6">
        <v>129.80699999999999</v>
      </c>
      <c r="E23" s="6">
        <v>119.7</v>
      </c>
      <c r="F23" s="6">
        <v>969.52499999999998</v>
      </c>
    </row>
    <row r="24" spans="1:6" x14ac:dyDescent="0.45">
      <c r="A24" s="3" t="s">
        <v>30</v>
      </c>
      <c r="B24" s="3" t="s">
        <v>5</v>
      </c>
      <c r="C24" s="6">
        <v>774.92700000000002</v>
      </c>
      <c r="D24" s="6">
        <v>181.72800000000001</v>
      </c>
      <c r="E24" s="6">
        <v>150.822</v>
      </c>
      <c r="F24" s="6">
        <v>1107.4770000000001</v>
      </c>
    </row>
    <row r="25" spans="1:6" x14ac:dyDescent="0.45">
      <c r="A25" s="3" t="s">
        <v>32</v>
      </c>
      <c r="B25" s="3" t="s">
        <v>5</v>
      </c>
      <c r="C25" s="6">
        <v>847.45799999999997</v>
      </c>
      <c r="D25" s="6">
        <v>254.42099999999999</v>
      </c>
      <c r="E25" s="6">
        <v>190.035</v>
      </c>
      <c r="F25" s="6">
        <v>1291.914</v>
      </c>
    </row>
    <row r="26" spans="1:6" x14ac:dyDescent="0.45">
      <c r="A26" s="3" t="s">
        <v>34</v>
      </c>
      <c r="B26" s="3" t="s">
        <v>5</v>
      </c>
      <c r="C26" s="6">
        <v>926.48700000000008</v>
      </c>
      <c r="D26" s="6">
        <v>356.19299999999998</v>
      </c>
      <c r="E26" s="6">
        <v>239.44499999999999</v>
      </c>
      <c r="F26" s="6">
        <v>1522.125</v>
      </c>
    </row>
    <row r="27" spans="1:6" x14ac:dyDescent="0.45">
      <c r="A27" s="3" t="s">
        <v>36</v>
      </c>
      <c r="B27" s="3" t="s">
        <v>5</v>
      </c>
      <c r="C27" s="6">
        <v>1012.455</v>
      </c>
      <c r="D27" s="6">
        <v>498.67200000000003</v>
      </c>
      <c r="E27" s="6">
        <v>301.69799999999998</v>
      </c>
      <c r="F27" s="6">
        <v>1812.825</v>
      </c>
    </row>
    <row r="28" spans="1:6" x14ac:dyDescent="0.45">
      <c r="A28" s="3" t="s">
        <v>38</v>
      </c>
      <c r="B28" s="3" t="s">
        <v>5</v>
      </c>
      <c r="C28" s="6">
        <v>1105.83</v>
      </c>
      <c r="D28" s="6">
        <v>698.13900000000001</v>
      </c>
      <c r="E28" s="6">
        <v>380.142</v>
      </c>
      <c r="F28" s="6">
        <v>2184.1109999999999</v>
      </c>
    </row>
  </sheetData>
  <autoFilter ref="A1:F1" xr:uid="{268A6313-443C-4907-BE89-2657B126D32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7E88-3108-42CC-B320-CF1832D9B49A}">
  <dimension ref="A1:H190"/>
  <sheetViews>
    <sheetView workbookViewId="0">
      <selection activeCell="B3" sqref="B3"/>
    </sheetView>
  </sheetViews>
  <sheetFormatPr defaultRowHeight="14.25" x14ac:dyDescent="0.45"/>
  <cols>
    <col min="4" max="4" width="9.06640625" style="7"/>
  </cols>
  <sheetData>
    <row r="1" spans="1:4" x14ac:dyDescent="0.45">
      <c r="A1" s="2" t="s">
        <v>20</v>
      </c>
      <c r="B1" s="2" t="s">
        <v>1</v>
      </c>
      <c r="C1" s="2" t="s">
        <v>42</v>
      </c>
      <c r="D1" s="5" t="s">
        <v>43</v>
      </c>
    </row>
    <row r="2" spans="1:4" x14ac:dyDescent="0.45">
      <c r="A2" s="3">
        <v>2022</v>
      </c>
      <c r="B2" s="3" t="s">
        <v>14</v>
      </c>
      <c r="C2" s="3" t="s">
        <v>44</v>
      </c>
      <c r="D2" s="6">
        <v>405.53</v>
      </c>
    </row>
    <row r="3" spans="1:4" x14ac:dyDescent="0.45">
      <c r="A3" s="3">
        <v>2023</v>
      </c>
      <c r="B3" s="3" t="s">
        <v>14</v>
      </c>
      <c r="C3" s="3" t="s">
        <v>44</v>
      </c>
      <c r="D3" s="6">
        <v>452.8</v>
      </c>
    </row>
    <row r="4" spans="1:4" x14ac:dyDescent="0.45">
      <c r="A4" s="3">
        <v>2024</v>
      </c>
      <c r="B4" s="3" t="s">
        <v>14</v>
      </c>
      <c r="C4" s="3" t="s">
        <v>44</v>
      </c>
      <c r="D4" s="6">
        <v>438</v>
      </c>
    </row>
    <row r="5" spans="1:4" x14ac:dyDescent="0.45">
      <c r="A5" s="3">
        <v>2025</v>
      </c>
      <c r="B5" s="3" t="s">
        <v>14</v>
      </c>
      <c r="C5" s="3" t="s">
        <v>44</v>
      </c>
      <c r="D5" s="6">
        <v>486.04640000000018</v>
      </c>
    </row>
    <row r="6" spans="1:4" x14ac:dyDescent="0.45">
      <c r="A6" s="3">
        <v>2026</v>
      </c>
      <c r="B6" s="3" t="s">
        <v>14</v>
      </c>
      <c r="C6" s="3" t="s">
        <v>44</v>
      </c>
      <c r="D6" s="6">
        <v>584.07848960000001</v>
      </c>
    </row>
    <row r="7" spans="1:4" x14ac:dyDescent="0.45">
      <c r="A7" s="3">
        <v>2027</v>
      </c>
      <c r="B7" s="3" t="s">
        <v>14</v>
      </c>
      <c r="C7" s="3" t="s">
        <v>44</v>
      </c>
      <c r="D7" s="6">
        <v>745.7697529344</v>
      </c>
    </row>
    <row r="8" spans="1:4" x14ac:dyDescent="0.45">
      <c r="A8" s="3">
        <v>2028</v>
      </c>
      <c r="B8" s="3" t="s">
        <v>14</v>
      </c>
      <c r="C8" s="3" t="s">
        <v>44</v>
      </c>
      <c r="D8" s="6">
        <v>1073.3419771222016</v>
      </c>
    </row>
    <row r="9" spans="1:4" x14ac:dyDescent="0.45">
      <c r="A9" s="3">
        <v>2029</v>
      </c>
      <c r="B9" s="3" t="s">
        <v>14</v>
      </c>
      <c r="C9" s="3" t="s">
        <v>44</v>
      </c>
      <c r="D9" s="6">
        <v>1473.9851436580225</v>
      </c>
    </row>
    <row r="10" spans="1:4" x14ac:dyDescent="0.45">
      <c r="A10" s="3">
        <v>2030</v>
      </c>
      <c r="B10" s="3" t="s">
        <v>14</v>
      </c>
      <c r="C10" s="3" t="s">
        <v>44</v>
      </c>
      <c r="D10" s="6">
        <v>1963.6573128521359</v>
      </c>
    </row>
    <row r="11" spans="1:4" x14ac:dyDescent="0.45">
      <c r="A11" s="3">
        <v>2022</v>
      </c>
      <c r="B11" s="3" t="s">
        <v>14</v>
      </c>
      <c r="C11" s="3" t="s">
        <v>45</v>
      </c>
      <c r="D11" s="6">
        <v>181.45</v>
      </c>
    </row>
    <row r="12" spans="1:4" x14ac:dyDescent="0.45">
      <c r="A12" s="3">
        <v>2023</v>
      </c>
      <c r="B12" s="3" t="s">
        <v>14</v>
      </c>
      <c r="C12" s="3" t="s">
        <v>45</v>
      </c>
      <c r="D12" s="6">
        <v>251.01</v>
      </c>
    </row>
    <row r="13" spans="1:4" x14ac:dyDescent="0.45">
      <c r="A13" s="3">
        <v>2024</v>
      </c>
      <c r="B13" s="3" t="s">
        <v>14</v>
      </c>
      <c r="C13" s="3" t="s">
        <v>45</v>
      </c>
      <c r="D13" s="6">
        <v>250.24</v>
      </c>
    </row>
    <row r="14" spans="1:4" x14ac:dyDescent="0.45">
      <c r="A14" s="3">
        <v>2025</v>
      </c>
      <c r="B14" s="3" t="s">
        <v>14</v>
      </c>
      <c r="C14" s="3" t="s">
        <v>45</v>
      </c>
      <c r="D14" s="6">
        <v>267.76</v>
      </c>
    </row>
    <row r="15" spans="1:4" x14ac:dyDescent="0.45">
      <c r="A15" s="3">
        <v>2026</v>
      </c>
      <c r="B15" s="3" t="s">
        <v>14</v>
      </c>
      <c r="C15" s="3" t="s">
        <v>45</v>
      </c>
      <c r="D15" s="6">
        <v>286.5</v>
      </c>
    </row>
    <row r="16" spans="1:4" x14ac:dyDescent="0.45">
      <c r="A16" s="3">
        <v>2027</v>
      </c>
      <c r="B16" s="3" t="s">
        <v>14</v>
      </c>
      <c r="C16" s="3" t="s">
        <v>45</v>
      </c>
      <c r="D16" s="6">
        <v>306.56</v>
      </c>
    </row>
    <row r="17" spans="1:4" x14ac:dyDescent="0.45">
      <c r="A17" s="3">
        <v>2028</v>
      </c>
      <c r="B17" s="3" t="s">
        <v>14</v>
      </c>
      <c r="C17" s="3" t="s">
        <v>45</v>
      </c>
      <c r="D17" s="6">
        <v>328.02</v>
      </c>
    </row>
    <row r="18" spans="1:4" x14ac:dyDescent="0.45">
      <c r="A18" s="3">
        <v>2029</v>
      </c>
      <c r="B18" s="3" t="s">
        <v>14</v>
      </c>
      <c r="C18" s="3" t="s">
        <v>45</v>
      </c>
      <c r="D18" s="6">
        <v>350.98</v>
      </c>
    </row>
    <row r="19" spans="1:4" x14ac:dyDescent="0.45">
      <c r="A19" s="3">
        <v>2030</v>
      </c>
      <c r="B19" s="3" t="s">
        <v>14</v>
      </c>
      <c r="C19" s="3" t="s">
        <v>45</v>
      </c>
      <c r="D19" s="6">
        <v>375.55</v>
      </c>
    </row>
    <row r="20" spans="1:4" x14ac:dyDescent="0.45">
      <c r="A20" s="3">
        <v>2022</v>
      </c>
      <c r="B20" s="3" t="s">
        <v>14</v>
      </c>
      <c r="C20" s="3" t="s">
        <v>46</v>
      </c>
      <c r="D20" s="6">
        <v>80</v>
      </c>
    </row>
    <row r="21" spans="1:4" x14ac:dyDescent="0.45">
      <c r="A21" s="3">
        <v>2023</v>
      </c>
      <c r="B21" s="3" t="s">
        <v>14</v>
      </c>
      <c r="C21" s="3" t="s">
        <v>46</v>
      </c>
      <c r="D21" s="6">
        <v>100.41</v>
      </c>
    </row>
    <row r="22" spans="1:4" x14ac:dyDescent="0.45">
      <c r="A22" s="3">
        <v>2024</v>
      </c>
      <c r="B22" s="3" t="s">
        <v>14</v>
      </c>
      <c r="C22" s="3" t="s">
        <v>46</v>
      </c>
      <c r="D22" s="6">
        <v>104.26</v>
      </c>
    </row>
    <row r="23" spans="1:4" x14ac:dyDescent="0.45">
      <c r="A23" s="3">
        <v>2025</v>
      </c>
      <c r="B23" s="3" t="s">
        <v>14</v>
      </c>
      <c r="C23" s="3" t="s">
        <v>46</v>
      </c>
      <c r="D23" s="6">
        <v>116.77</v>
      </c>
    </row>
    <row r="24" spans="1:4" x14ac:dyDescent="0.45">
      <c r="A24" s="3">
        <v>2026</v>
      </c>
      <c r="B24" s="3" t="s">
        <v>14</v>
      </c>
      <c r="C24" s="3" t="s">
        <v>46</v>
      </c>
      <c r="D24" s="6">
        <v>130.78</v>
      </c>
    </row>
    <row r="25" spans="1:4" x14ac:dyDescent="0.45">
      <c r="A25" s="3">
        <v>2027</v>
      </c>
      <c r="B25" s="3" t="s">
        <v>14</v>
      </c>
      <c r="C25" s="3" t="s">
        <v>46</v>
      </c>
      <c r="D25" s="6">
        <v>146.47</v>
      </c>
    </row>
    <row r="26" spans="1:4" x14ac:dyDescent="0.45">
      <c r="A26" s="3">
        <v>2028</v>
      </c>
      <c r="B26" s="3" t="s">
        <v>14</v>
      </c>
      <c r="C26" s="3" t="s">
        <v>46</v>
      </c>
      <c r="D26" s="6">
        <v>164.05</v>
      </c>
    </row>
    <row r="27" spans="1:4" x14ac:dyDescent="0.45">
      <c r="A27" s="3">
        <v>2029</v>
      </c>
      <c r="B27" s="3" t="s">
        <v>14</v>
      </c>
      <c r="C27" s="3" t="s">
        <v>46</v>
      </c>
      <c r="D27" s="6">
        <v>183.74</v>
      </c>
    </row>
    <row r="28" spans="1:4" x14ac:dyDescent="0.45">
      <c r="A28" s="3">
        <v>2030</v>
      </c>
      <c r="B28" s="3" t="s">
        <v>14</v>
      </c>
      <c r="C28" s="3" t="s">
        <v>46</v>
      </c>
      <c r="D28" s="6">
        <v>205.79</v>
      </c>
    </row>
    <row r="29" spans="1:4" x14ac:dyDescent="0.45">
      <c r="A29" s="3">
        <v>2022</v>
      </c>
      <c r="B29" s="3" t="s">
        <v>14</v>
      </c>
      <c r="C29" s="3" t="s">
        <v>47</v>
      </c>
      <c r="D29" s="6">
        <v>40</v>
      </c>
    </row>
    <row r="30" spans="1:4" x14ac:dyDescent="0.45">
      <c r="A30" s="3">
        <v>2023</v>
      </c>
      <c r="B30" s="3" t="s">
        <v>14</v>
      </c>
      <c r="C30" s="3" t="s">
        <v>47</v>
      </c>
      <c r="D30" s="6">
        <v>55.78</v>
      </c>
    </row>
    <row r="31" spans="1:4" x14ac:dyDescent="0.45">
      <c r="A31" s="3">
        <v>2024</v>
      </c>
      <c r="B31" s="3" t="s">
        <v>14</v>
      </c>
      <c r="C31" s="3" t="s">
        <v>47</v>
      </c>
      <c r="D31" s="6">
        <v>62.56</v>
      </c>
    </row>
    <row r="32" spans="1:4" x14ac:dyDescent="0.45">
      <c r="A32" s="3">
        <v>2025</v>
      </c>
      <c r="B32" s="3" t="s">
        <v>14</v>
      </c>
      <c r="C32" s="3" t="s">
        <v>47</v>
      </c>
      <c r="D32" s="6">
        <v>75.069999999999993</v>
      </c>
    </row>
    <row r="33" spans="1:4" x14ac:dyDescent="0.45">
      <c r="A33" s="3">
        <v>2026</v>
      </c>
      <c r="B33" s="3" t="s">
        <v>14</v>
      </c>
      <c r="C33" s="3" t="s">
        <v>47</v>
      </c>
      <c r="D33" s="6">
        <v>90.08</v>
      </c>
    </row>
    <row r="34" spans="1:4" x14ac:dyDescent="0.45">
      <c r="A34" s="3">
        <v>2027</v>
      </c>
      <c r="B34" s="3" t="s">
        <v>14</v>
      </c>
      <c r="C34" s="3" t="s">
        <v>47</v>
      </c>
      <c r="D34" s="6">
        <v>108.1</v>
      </c>
    </row>
    <row r="35" spans="1:4" x14ac:dyDescent="0.45">
      <c r="A35" s="3">
        <v>2028</v>
      </c>
      <c r="B35" s="3" t="s">
        <v>14</v>
      </c>
      <c r="C35" s="3" t="s">
        <v>47</v>
      </c>
      <c r="D35" s="6">
        <v>129.72</v>
      </c>
    </row>
    <row r="36" spans="1:4" x14ac:dyDescent="0.45">
      <c r="A36" s="3">
        <v>2029</v>
      </c>
      <c r="B36" s="3" t="s">
        <v>14</v>
      </c>
      <c r="C36" s="3" t="s">
        <v>47</v>
      </c>
      <c r="D36" s="6">
        <v>155.66</v>
      </c>
    </row>
    <row r="37" spans="1:4" x14ac:dyDescent="0.45">
      <c r="A37" s="3">
        <v>2030</v>
      </c>
      <c r="B37" s="3" t="s">
        <v>14</v>
      </c>
      <c r="C37" s="3" t="s">
        <v>47</v>
      </c>
      <c r="D37" s="6">
        <v>186.79</v>
      </c>
    </row>
    <row r="38" spans="1:4" x14ac:dyDescent="0.45">
      <c r="A38" s="3">
        <v>2022</v>
      </c>
      <c r="B38" s="3" t="s">
        <v>14</v>
      </c>
      <c r="C38" s="3" t="s">
        <v>48</v>
      </c>
      <c r="D38" s="6">
        <v>15</v>
      </c>
    </row>
    <row r="39" spans="1:4" x14ac:dyDescent="0.45">
      <c r="A39" s="3">
        <v>2023</v>
      </c>
      <c r="B39" s="3" t="s">
        <v>14</v>
      </c>
      <c r="C39" s="3" t="s">
        <v>48</v>
      </c>
      <c r="D39" s="6">
        <v>20.079999999999998</v>
      </c>
    </row>
    <row r="40" spans="1:4" x14ac:dyDescent="0.45">
      <c r="A40" s="3">
        <v>2024</v>
      </c>
      <c r="B40" s="3" t="s">
        <v>14</v>
      </c>
      <c r="C40" s="3" t="s">
        <v>48</v>
      </c>
      <c r="D40" s="6">
        <v>20.85</v>
      </c>
    </row>
    <row r="41" spans="1:4" x14ac:dyDescent="0.45">
      <c r="A41" s="3">
        <v>2025</v>
      </c>
      <c r="B41" s="3" t="s">
        <v>14</v>
      </c>
      <c r="C41" s="3" t="s">
        <v>48</v>
      </c>
      <c r="D41" s="6">
        <v>23.98</v>
      </c>
    </row>
    <row r="42" spans="1:4" x14ac:dyDescent="0.45">
      <c r="A42" s="3">
        <v>2026</v>
      </c>
      <c r="B42" s="3" t="s">
        <v>14</v>
      </c>
      <c r="C42" s="3" t="s">
        <v>48</v>
      </c>
      <c r="D42" s="6">
        <v>27.58</v>
      </c>
    </row>
    <row r="43" spans="1:4" x14ac:dyDescent="0.45">
      <c r="A43" s="3">
        <v>2027</v>
      </c>
      <c r="B43" s="3" t="s">
        <v>14</v>
      </c>
      <c r="C43" s="3" t="s">
        <v>48</v>
      </c>
      <c r="D43" s="6">
        <v>31.72</v>
      </c>
    </row>
    <row r="44" spans="1:4" x14ac:dyDescent="0.45">
      <c r="A44" s="3">
        <v>2028</v>
      </c>
      <c r="B44" s="3" t="s">
        <v>14</v>
      </c>
      <c r="C44" s="3" t="s">
        <v>48</v>
      </c>
      <c r="D44" s="6">
        <v>36.479999999999997</v>
      </c>
    </row>
    <row r="45" spans="1:4" x14ac:dyDescent="0.45">
      <c r="A45" s="3">
        <v>2029</v>
      </c>
      <c r="B45" s="3" t="s">
        <v>14</v>
      </c>
      <c r="C45" s="3" t="s">
        <v>48</v>
      </c>
      <c r="D45" s="6">
        <v>41.95</v>
      </c>
    </row>
    <row r="46" spans="1:4" x14ac:dyDescent="0.45">
      <c r="A46" s="3">
        <v>2030</v>
      </c>
      <c r="B46" s="3" t="s">
        <v>14</v>
      </c>
      <c r="C46" s="3" t="s">
        <v>48</v>
      </c>
      <c r="D46" s="6">
        <v>48.24</v>
      </c>
    </row>
    <row r="47" spans="1:4" x14ac:dyDescent="0.45">
      <c r="A47" s="3">
        <v>2022</v>
      </c>
      <c r="B47" s="3" t="s">
        <v>14</v>
      </c>
      <c r="C47" s="3" t="s">
        <v>49</v>
      </c>
      <c r="D47" s="6">
        <v>92.64</v>
      </c>
    </row>
    <row r="48" spans="1:4" x14ac:dyDescent="0.45">
      <c r="A48" s="3">
        <v>2023</v>
      </c>
      <c r="B48" s="3" t="s">
        <v>14</v>
      </c>
      <c r="C48" s="3" t="s">
        <v>49</v>
      </c>
      <c r="D48" s="6">
        <v>87.82</v>
      </c>
    </row>
    <row r="49" spans="1:4" x14ac:dyDescent="0.45">
      <c r="A49" s="3">
        <v>2024</v>
      </c>
      <c r="B49" s="3" t="s">
        <v>14</v>
      </c>
      <c r="C49" s="3" t="s">
        <v>49</v>
      </c>
      <c r="D49" s="6">
        <v>101.15</v>
      </c>
    </row>
    <row r="50" spans="1:4" x14ac:dyDescent="0.45">
      <c r="A50" s="3">
        <v>2025</v>
      </c>
      <c r="B50" s="3" t="s">
        <v>14</v>
      </c>
      <c r="C50" s="3" t="s">
        <v>49</v>
      </c>
      <c r="D50" s="6">
        <v>107.62</v>
      </c>
    </row>
    <row r="51" spans="1:4" x14ac:dyDescent="0.45">
      <c r="A51" s="3">
        <v>2026</v>
      </c>
      <c r="B51" s="3" t="s">
        <v>14</v>
      </c>
      <c r="C51" s="3" t="s">
        <v>49</v>
      </c>
      <c r="D51" s="6">
        <v>114.51</v>
      </c>
    </row>
    <row r="52" spans="1:4" x14ac:dyDescent="0.45">
      <c r="A52" s="3">
        <v>2027</v>
      </c>
      <c r="B52" s="3" t="s">
        <v>14</v>
      </c>
      <c r="C52" s="3" t="s">
        <v>49</v>
      </c>
      <c r="D52" s="6">
        <v>121.84</v>
      </c>
    </row>
    <row r="53" spans="1:4" x14ac:dyDescent="0.45">
      <c r="A53" s="3">
        <v>2028</v>
      </c>
      <c r="B53" s="3" t="s">
        <v>14</v>
      </c>
      <c r="C53" s="3" t="s">
        <v>49</v>
      </c>
      <c r="D53" s="6">
        <v>129.63999999999999</v>
      </c>
    </row>
    <row r="54" spans="1:4" x14ac:dyDescent="0.45">
      <c r="A54" s="3">
        <v>2029</v>
      </c>
      <c r="B54" s="3" t="s">
        <v>14</v>
      </c>
      <c r="C54" s="3" t="s">
        <v>49</v>
      </c>
      <c r="D54" s="6">
        <v>137.94</v>
      </c>
    </row>
    <row r="55" spans="1:4" x14ac:dyDescent="0.45">
      <c r="A55" s="3">
        <v>2030</v>
      </c>
      <c r="B55" s="3" t="s">
        <v>14</v>
      </c>
      <c r="C55" s="3" t="s">
        <v>49</v>
      </c>
      <c r="D55" s="6">
        <v>146.77000000000001</v>
      </c>
    </row>
    <row r="56" spans="1:4" x14ac:dyDescent="0.45">
      <c r="A56" s="3">
        <v>2022</v>
      </c>
      <c r="B56" s="3" t="s">
        <v>14</v>
      </c>
      <c r="C56" s="3" t="s">
        <v>50</v>
      </c>
      <c r="D56" s="6">
        <v>814.62</v>
      </c>
    </row>
    <row r="57" spans="1:4" x14ac:dyDescent="0.45">
      <c r="A57" s="3">
        <v>2023</v>
      </c>
      <c r="B57" s="3" t="s">
        <v>14</v>
      </c>
      <c r="C57" s="3" t="s">
        <v>50</v>
      </c>
      <c r="D57" s="6">
        <v>967.73</v>
      </c>
    </row>
    <row r="58" spans="1:4" x14ac:dyDescent="0.45">
      <c r="A58" s="3">
        <v>2024</v>
      </c>
      <c r="B58" s="3" t="s">
        <v>14</v>
      </c>
      <c r="C58" s="3" t="s">
        <v>50</v>
      </c>
      <c r="D58" s="6">
        <v>976.9</v>
      </c>
    </row>
    <row r="59" spans="1:4" x14ac:dyDescent="0.45">
      <c r="A59" s="3">
        <v>2025</v>
      </c>
      <c r="B59" s="3" t="s">
        <v>14</v>
      </c>
      <c r="C59" s="3" t="s">
        <v>50</v>
      </c>
      <c r="D59" s="6">
        <v>1077.25</v>
      </c>
    </row>
    <row r="60" spans="1:4" x14ac:dyDescent="0.45">
      <c r="A60" s="3">
        <v>2026</v>
      </c>
      <c r="B60" s="3" t="s">
        <v>14</v>
      </c>
      <c r="C60" s="3" t="s">
        <v>50</v>
      </c>
      <c r="D60" s="6">
        <v>1233.5299999999997</v>
      </c>
    </row>
    <row r="61" spans="1:4" x14ac:dyDescent="0.45">
      <c r="A61" s="3">
        <v>2027</v>
      </c>
      <c r="B61" s="3" t="s">
        <v>14</v>
      </c>
      <c r="C61" s="3" t="s">
        <v>50</v>
      </c>
      <c r="D61" s="6">
        <v>1460.46</v>
      </c>
    </row>
    <row r="62" spans="1:4" x14ac:dyDescent="0.45">
      <c r="A62" s="3">
        <v>2028</v>
      </c>
      <c r="B62" s="3" t="s">
        <v>14</v>
      </c>
      <c r="C62" s="3" t="s">
        <v>50</v>
      </c>
      <c r="D62" s="6">
        <v>1861.25</v>
      </c>
    </row>
    <row r="63" spans="1:4" x14ac:dyDescent="0.45">
      <c r="A63" s="3">
        <v>2029</v>
      </c>
      <c r="B63" s="3" t="s">
        <v>14</v>
      </c>
      <c r="C63" s="3" t="s">
        <v>50</v>
      </c>
      <c r="D63" s="6">
        <v>2344.25</v>
      </c>
    </row>
    <row r="64" spans="1:4" x14ac:dyDescent="0.45">
      <c r="A64" s="3">
        <v>2030</v>
      </c>
      <c r="B64" s="3" t="s">
        <v>14</v>
      </c>
      <c r="C64" s="3" t="s">
        <v>50</v>
      </c>
      <c r="D64" s="6">
        <v>2926.79</v>
      </c>
    </row>
    <row r="65" spans="1:7" x14ac:dyDescent="0.45">
      <c r="A65" s="3">
        <v>2022</v>
      </c>
      <c r="B65" s="3" t="s">
        <v>12</v>
      </c>
      <c r="C65" s="3" t="s">
        <v>44</v>
      </c>
      <c r="D65" s="6">
        <v>405.53</v>
      </c>
    </row>
    <row r="66" spans="1:7" x14ac:dyDescent="0.45">
      <c r="A66" s="3">
        <v>2023</v>
      </c>
      <c r="B66" s="3" t="s">
        <v>12</v>
      </c>
      <c r="C66" s="3" t="s">
        <v>44</v>
      </c>
      <c r="D66" s="6">
        <v>452.8</v>
      </c>
    </row>
    <row r="67" spans="1:7" x14ac:dyDescent="0.45">
      <c r="A67" s="3">
        <v>2024</v>
      </c>
      <c r="B67" s="3" t="s">
        <v>12</v>
      </c>
      <c r="C67" s="3" t="s">
        <v>44</v>
      </c>
      <c r="D67" s="6">
        <v>438</v>
      </c>
    </row>
    <row r="68" spans="1:7" x14ac:dyDescent="0.45">
      <c r="A68" s="3">
        <v>2025</v>
      </c>
      <c r="B68" s="3" t="s">
        <v>12</v>
      </c>
      <c r="C68" s="3" t="s">
        <v>44</v>
      </c>
      <c r="D68" s="6">
        <v>558.95749999999998</v>
      </c>
      <c r="G68" s="7"/>
    </row>
    <row r="69" spans="1:7" x14ac:dyDescent="0.45">
      <c r="A69" s="3">
        <v>2026</v>
      </c>
      <c r="B69" s="3" t="s">
        <v>12</v>
      </c>
      <c r="C69" s="3" t="s">
        <v>44</v>
      </c>
      <c r="D69" s="6">
        <v>671.69200000000001</v>
      </c>
      <c r="G69" s="7"/>
    </row>
    <row r="70" spans="1:7" x14ac:dyDescent="0.45">
      <c r="A70" s="3">
        <v>2027</v>
      </c>
      <c r="B70" s="3" t="s">
        <v>12</v>
      </c>
      <c r="C70" s="3" t="s">
        <v>44</v>
      </c>
      <c r="D70" s="6">
        <v>857.63549999999987</v>
      </c>
      <c r="G70" s="7"/>
    </row>
    <row r="71" spans="1:7" x14ac:dyDescent="0.45">
      <c r="A71" s="3">
        <v>2028</v>
      </c>
      <c r="B71" s="3" t="s">
        <v>12</v>
      </c>
      <c r="C71" s="3" t="s">
        <v>44</v>
      </c>
      <c r="D71" s="6">
        <v>1234.3409999999999</v>
      </c>
      <c r="G71" s="7"/>
    </row>
    <row r="72" spans="1:7" x14ac:dyDescent="0.45">
      <c r="A72" s="3">
        <v>2029</v>
      </c>
      <c r="B72" s="3" t="s">
        <v>12</v>
      </c>
      <c r="C72" s="3" t="s">
        <v>44</v>
      </c>
      <c r="D72" s="6">
        <v>1695.0769999999998</v>
      </c>
      <c r="G72" s="7"/>
    </row>
    <row r="73" spans="1:7" x14ac:dyDescent="0.45">
      <c r="A73" s="3">
        <v>2030</v>
      </c>
      <c r="B73" s="3" t="s">
        <v>12</v>
      </c>
      <c r="C73" s="3" t="s">
        <v>44</v>
      </c>
      <c r="D73" s="6">
        <v>2258.1975000000002</v>
      </c>
      <c r="G73" s="7"/>
    </row>
    <row r="74" spans="1:7" x14ac:dyDescent="0.45">
      <c r="A74" s="3">
        <v>2022</v>
      </c>
      <c r="B74" s="3" t="s">
        <v>12</v>
      </c>
      <c r="C74" s="3" t="s">
        <v>45</v>
      </c>
      <c r="D74" s="6">
        <v>181.45</v>
      </c>
    </row>
    <row r="75" spans="1:7" x14ac:dyDescent="0.45">
      <c r="A75" s="3">
        <v>2023</v>
      </c>
      <c r="B75" s="3" t="s">
        <v>12</v>
      </c>
      <c r="C75" s="3" t="s">
        <v>45</v>
      </c>
      <c r="D75" s="6">
        <v>251.01</v>
      </c>
    </row>
    <row r="76" spans="1:7" x14ac:dyDescent="0.45">
      <c r="A76" s="3">
        <v>2024</v>
      </c>
      <c r="B76" s="3" t="s">
        <v>12</v>
      </c>
      <c r="C76" s="3" t="s">
        <v>45</v>
      </c>
      <c r="D76" s="6">
        <v>250.24</v>
      </c>
    </row>
    <row r="77" spans="1:7" x14ac:dyDescent="0.45">
      <c r="A77" s="3">
        <v>2025</v>
      </c>
      <c r="B77" s="3" t="s">
        <v>12</v>
      </c>
      <c r="C77" s="3" t="s">
        <v>45</v>
      </c>
      <c r="D77" s="6">
        <v>307.92399999999998</v>
      </c>
    </row>
    <row r="78" spans="1:7" x14ac:dyDescent="0.45">
      <c r="A78" s="3">
        <v>2026</v>
      </c>
      <c r="B78" s="3" t="s">
        <v>12</v>
      </c>
      <c r="C78" s="3" t="s">
        <v>45</v>
      </c>
      <c r="D78" s="6">
        <v>329.47500000000002</v>
      </c>
    </row>
    <row r="79" spans="1:7" x14ac:dyDescent="0.45">
      <c r="A79" s="3">
        <v>2027</v>
      </c>
      <c r="B79" s="3" t="s">
        <v>12</v>
      </c>
      <c r="C79" s="3" t="s">
        <v>45</v>
      </c>
      <c r="D79" s="6">
        <v>352.54399999999998</v>
      </c>
    </row>
    <row r="80" spans="1:7" x14ac:dyDescent="0.45">
      <c r="A80" s="3">
        <v>2028</v>
      </c>
      <c r="B80" s="3" t="s">
        <v>12</v>
      </c>
      <c r="C80" s="3" t="s">
        <v>45</v>
      </c>
      <c r="D80" s="6">
        <v>377.22300000000001</v>
      </c>
    </row>
    <row r="81" spans="1:4" x14ac:dyDescent="0.45">
      <c r="A81" s="3">
        <v>2029</v>
      </c>
      <c r="B81" s="3" t="s">
        <v>12</v>
      </c>
      <c r="C81" s="3" t="s">
        <v>45</v>
      </c>
      <c r="D81" s="6">
        <v>403.62700000000001</v>
      </c>
    </row>
    <row r="82" spans="1:4" x14ac:dyDescent="0.45">
      <c r="A82" s="3">
        <v>2030</v>
      </c>
      <c r="B82" s="3" t="s">
        <v>12</v>
      </c>
      <c r="C82" s="3" t="s">
        <v>45</v>
      </c>
      <c r="D82" s="6">
        <v>431.88249999999999</v>
      </c>
    </row>
    <row r="83" spans="1:4" x14ac:dyDescent="0.45">
      <c r="A83" s="3">
        <v>2022</v>
      </c>
      <c r="B83" s="3" t="s">
        <v>12</v>
      </c>
      <c r="C83" s="3" t="s">
        <v>46</v>
      </c>
      <c r="D83" s="6">
        <v>80</v>
      </c>
    </row>
    <row r="84" spans="1:4" x14ac:dyDescent="0.45">
      <c r="A84" s="3">
        <v>2023</v>
      </c>
      <c r="B84" s="3" t="s">
        <v>12</v>
      </c>
      <c r="C84" s="3" t="s">
        <v>46</v>
      </c>
      <c r="D84" s="6">
        <v>100.41</v>
      </c>
    </row>
    <row r="85" spans="1:4" x14ac:dyDescent="0.45">
      <c r="A85" s="3">
        <v>2024</v>
      </c>
      <c r="B85" s="3" t="s">
        <v>12</v>
      </c>
      <c r="C85" s="3" t="s">
        <v>46</v>
      </c>
      <c r="D85" s="6">
        <v>104.26</v>
      </c>
    </row>
    <row r="86" spans="1:4" x14ac:dyDescent="0.45">
      <c r="A86" s="3">
        <v>2025</v>
      </c>
      <c r="B86" s="3" t="s">
        <v>12</v>
      </c>
      <c r="C86" s="3" t="s">
        <v>46</v>
      </c>
      <c r="D86" s="6">
        <v>134.28550000000001</v>
      </c>
    </row>
    <row r="87" spans="1:4" x14ac:dyDescent="0.45">
      <c r="A87" s="3">
        <v>2026</v>
      </c>
      <c r="B87" s="3" t="s">
        <v>12</v>
      </c>
      <c r="C87" s="3" t="s">
        <v>46</v>
      </c>
      <c r="D87" s="6">
        <v>150.39699999999999</v>
      </c>
    </row>
    <row r="88" spans="1:4" x14ac:dyDescent="0.45">
      <c r="A88" s="3">
        <v>2027</v>
      </c>
      <c r="B88" s="3" t="s">
        <v>12</v>
      </c>
      <c r="C88" s="3" t="s">
        <v>46</v>
      </c>
      <c r="D88" s="6">
        <v>168.44049999999999</v>
      </c>
    </row>
    <row r="89" spans="1:4" x14ac:dyDescent="0.45">
      <c r="A89" s="3">
        <v>2028</v>
      </c>
      <c r="B89" s="3" t="s">
        <v>12</v>
      </c>
      <c r="C89" s="3" t="s">
        <v>46</v>
      </c>
      <c r="D89" s="6">
        <v>188.6575</v>
      </c>
    </row>
    <row r="90" spans="1:4" x14ac:dyDescent="0.45">
      <c r="A90" s="3">
        <v>2029</v>
      </c>
      <c r="B90" s="3" t="s">
        <v>12</v>
      </c>
      <c r="C90" s="3" t="s">
        <v>46</v>
      </c>
      <c r="D90" s="6">
        <v>211.30099999999999</v>
      </c>
    </row>
    <row r="91" spans="1:4" x14ac:dyDescent="0.45">
      <c r="A91" s="3">
        <v>2030</v>
      </c>
      <c r="B91" s="3" t="s">
        <v>12</v>
      </c>
      <c r="C91" s="3" t="s">
        <v>46</v>
      </c>
      <c r="D91" s="6">
        <v>236.6585</v>
      </c>
    </row>
    <row r="92" spans="1:4" x14ac:dyDescent="0.45">
      <c r="A92" s="3">
        <v>2022</v>
      </c>
      <c r="B92" s="3" t="s">
        <v>12</v>
      </c>
      <c r="C92" s="3" t="s">
        <v>47</v>
      </c>
      <c r="D92" s="6">
        <v>40</v>
      </c>
    </row>
    <row r="93" spans="1:4" x14ac:dyDescent="0.45">
      <c r="A93" s="3">
        <v>2023</v>
      </c>
      <c r="B93" s="3" t="s">
        <v>12</v>
      </c>
      <c r="C93" s="3" t="s">
        <v>47</v>
      </c>
      <c r="D93" s="6">
        <v>55.78</v>
      </c>
    </row>
    <row r="94" spans="1:4" x14ac:dyDescent="0.45">
      <c r="A94" s="3">
        <v>2024</v>
      </c>
      <c r="B94" s="3" t="s">
        <v>12</v>
      </c>
      <c r="C94" s="3" t="s">
        <v>47</v>
      </c>
      <c r="D94" s="6">
        <v>62.56</v>
      </c>
    </row>
    <row r="95" spans="1:4" x14ac:dyDescent="0.45">
      <c r="A95" s="3">
        <v>2025</v>
      </c>
      <c r="B95" s="3" t="s">
        <v>12</v>
      </c>
      <c r="C95" s="3" t="s">
        <v>47</v>
      </c>
      <c r="D95" s="6">
        <v>86.330500000000001</v>
      </c>
    </row>
    <row r="96" spans="1:4" x14ac:dyDescent="0.45">
      <c r="A96" s="3">
        <v>2026</v>
      </c>
      <c r="B96" s="3" t="s">
        <v>12</v>
      </c>
      <c r="C96" s="3" t="s">
        <v>47</v>
      </c>
      <c r="D96" s="6">
        <v>103.592</v>
      </c>
    </row>
    <row r="97" spans="1:4" x14ac:dyDescent="0.45">
      <c r="A97" s="3">
        <v>2027</v>
      </c>
      <c r="B97" s="3" t="s">
        <v>12</v>
      </c>
      <c r="C97" s="3" t="s">
        <v>47</v>
      </c>
      <c r="D97" s="6">
        <v>124.315</v>
      </c>
    </row>
    <row r="98" spans="1:4" x14ac:dyDescent="0.45">
      <c r="A98" s="3">
        <v>2028</v>
      </c>
      <c r="B98" s="3" t="s">
        <v>12</v>
      </c>
      <c r="C98" s="3" t="s">
        <v>47</v>
      </c>
      <c r="D98" s="6">
        <v>149.178</v>
      </c>
    </row>
    <row r="99" spans="1:4" x14ac:dyDescent="0.45">
      <c r="A99" s="3">
        <v>2029</v>
      </c>
      <c r="B99" s="3" t="s">
        <v>12</v>
      </c>
      <c r="C99" s="3" t="s">
        <v>47</v>
      </c>
      <c r="D99" s="6">
        <v>179.00899999999999</v>
      </c>
    </row>
    <row r="100" spans="1:4" x14ac:dyDescent="0.45">
      <c r="A100" s="3">
        <v>2030</v>
      </c>
      <c r="B100" s="3" t="s">
        <v>12</v>
      </c>
      <c r="C100" s="3" t="s">
        <v>47</v>
      </c>
      <c r="D100" s="6">
        <v>214.80850000000001</v>
      </c>
    </row>
    <row r="101" spans="1:4" x14ac:dyDescent="0.45">
      <c r="A101" s="3">
        <v>2022</v>
      </c>
      <c r="B101" s="3" t="s">
        <v>12</v>
      </c>
      <c r="C101" s="3" t="s">
        <v>48</v>
      </c>
      <c r="D101" s="6">
        <v>15</v>
      </c>
    </row>
    <row r="102" spans="1:4" x14ac:dyDescent="0.45">
      <c r="A102" s="3">
        <v>2023</v>
      </c>
      <c r="B102" s="3" t="s">
        <v>12</v>
      </c>
      <c r="C102" s="3" t="s">
        <v>48</v>
      </c>
      <c r="D102" s="6">
        <v>20.079999999999998</v>
      </c>
    </row>
    <row r="103" spans="1:4" x14ac:dyDescent="0.45">
      <c r="A103" s="3">
        <v>2024</v>
      </c>
      <c r="B103" s="3" t="s">
        <v>12</v>
      </c>
      <c r="C103" s="3" t="s">
        <v>48</v>
      </c>
      <c r="D103" s="6">
        <v>20.85</v>
      </c>
    </row>
    <row r="104" spans="1:4" x14ac:dyDescent="0.45">
      <c r="A104" s="3">
        <v>2025</v>
      </c>
      <c r="B104" s="3" t="s">
        <v>12</v>
      </c>
      <c r="C104" s="3" t="s">
        <v>48</v>
      </c>
      <c r="D104" s="6">
        <v>27.577000000000002</v>
      </c>
    </row>
    <row r="105" spans="1:4" x14ac:dyDescent="0.45">
      <c r="A105" s="3">
        <v>2026</v>
      </c>
      <c r="B105" s="3" t="s">
        <v>12</v>
      </c>
      <c r="C105" s="3" t="s">
        <v>48</v>
      </c>
      <c r="D105" s="6">
        <v>31.716999999999999</v>
      </c>
    </row>
    <row r="106" spans="1:4" x14ac:dyDescent="0.45">
      <c r="A106" s="3">
        <v>2027</v>
      </c>
      <c r="B106" s="3" t="s">
        <v>12</v>
      </c>
      <c r="C106" s="3" t="s">
        <v>48</v>
      </c>
      <c r="D106" s="6">
        <v>36.478000000000002</v>
      </c>
    </row>
    <row r="107" spans="1:4" x14ac:dyDescent="0.45">
      <c r="A107" s="3">
        <v>2028</v>
      </c>
      <c r="B107" s="3" t="s">
        <v>12</v>
      </c>
      <c r="C107" s="3" t="s">
        <v>48</v>
      </c>
      <c r="D107" s="6">
        <v>41.951999999999998</v>
      </c>
    </row>
    <row r="108" spans="1:4" x14ac:dyDescent="0.45">
      <c r="A108" s="3">
        <v>2029</v>
      </c>
      <c r="B108" s="3" t="s">
        <v>12</v>
      </c>
      <c r="C108" s="3" t="s">
        <v>48</v>
      </c>
      <c r="D108" s="6">
        <v>48.2425</v>
      </c>
    </row>
    <row r="109" spans="1:4" x14ac:dyDescent="0.45">
      <c r="A109" s="3">
        <v>2030</v>
      </c>
      <c r="B109" s="3" t="s">
        <v>12</v>
      </c>
      <c r="C109" s="3" t="s">
        <v>48</v>
      </c>
      <c r="D109" s="6">
        <v>55.475999999999999</v>
      </c>
    </row>
    <row r="110" spans="1:4" x14ac:dyDescent="0.45">
      <c r="A110" s="3">
        <v>2022</v>
      </c>
      <c r="B110" s="3" t="s">
        <v>12</v>
      </c>
      <c r="C110" s="3" t="s">
        <v>49</v>
      </c>
      <c r="D110" s="6">
        <v>92.64</v>
      </c>
    </row>
    <row r="111" spans="1:4" x14ac:dyDescent="0.45">
      <c r="A111" s="3">
        <v>2023</v>
      </c>
      <c r="B111" s="3" t="s">
        <v>12</v>
      </c>
      <c r="C111" s="3" t="s">
        <v>49</v>
      </c>
      <c r="D111" s="6">
        <v>87.82</v>
      </c>
    </row>
    <row r="112" spans="1:4" x14ac:dyDescent="0.45">
      <c r="A112" s="3">
        <v>2024</v>
      </c>
      <c r="B112" s="3" t="s">
        <v>12</v>
      </c>
      <c r="C112" s="3" t="s">
        <v>49</v>
      </c>
      <c r="D112" s="6">
        <v>101.15</v>
      </c>
    </row>
    <row r="113" spans="1:4" x14ac:dyDescent="0.45">
      <c r="A113" s="3">
        <v>2025</v>
      </c>
      <c r="B113" s="3" t="s">
        <v>12</v>
      </c>
      <c r="C113" s="3" t="s">
        <v>49</v>
      </c>
      <c r="D113" s="6">
        <v>123.76300000000001</v>
      </c>
    </row>
    <row r="114" spans="1:4" x14ac:dyDescent="0.45">
      <c r="A114" s="3">
        <v>2026</v>
      </c>
      <c r="B114" s="3" t="s">
        <v>12</v>
      </c>
      <c r="C114" s="3" t="s">
        <v>49</v>
      </c>
      <c r="D114" s="6">
        <v>131.6865</v>
      </c>
    </row>
    <row r="115" spans="1:4" x14ac:dyDescent="0.45">
      <c r="A115" s="3">
        <v>2027</v>
      </c>
      <c r="B115" s="3" t="s">
        <v>12</v>
      </c>
      <c r="C115" s="3" t="s">
        <v>49</v>
      </c>
      <c r="D115" s="6">
        <v>140.11600000000001</v>
      </c>
    </row>
    <row r="116" spans="1:4" x14ac:dyDescent="0.45">
      <c r="A116" s="3">
        <v>2028</v>
      </c>
      <c r="B116" s="3" t="s">
        <v>12</v>
      </c>
      <c r="C116" s="3" t="s">
        <v>49</v>
      </c>
      <c r="D116" s="6">
        <v>149.08600000000001</v>
      </c>
    </row>
    <row r="117" spans="1:4" x14ac:dyDescent="0.45">
      <c r="A117" s="3">
        <v>2029</v>
      </c>
      <c r="B117" s="3" t="s">
        <v>12</v>
      </c>
      <c r="C117" s="3" t="s">
        <v>49</v>
      </c>
      <c r="D117" s="6">
        <v>158.631</v>
      </c>
    </row>
    <row r="118" spans="1:4" x14ac:dyDescent="0.45">
      <c r="A118" s="3">
        <v>2030</v>
      </c>
      <c r="B118" s="3" t="s">
        <v>12</v>
      </c>
      <c r="C118" s="3" t="s">
        <v>49</v>
      </c>
      <c r="D118" s="6">
        <v>168.78550000000001</v>
      </c>
    </row>
    <row r="119" spans="1:4" x14ac:dyDescent="0.45">
      <c r="A119" s="3">
        <v>2022</v>
      </c>
      <c r="B119" s="3" t="s">
        <v>12</v>
      </c>
      <c r="C119" s="3" t="s">
        <v>50</v>
      </c>
      <c r="D119" s="6">
        <v>814.62</v>
      </c>
    </row>
    <row r="120" spans="1:4" x14ac:dyDescent="0.45">
      <c r="A120" s="3">
        <v>2023</v>
      </c>
      <c r="B120" s="3" t="s">
        <v>12</v>
      </c>
      <c r="C120" s="3" t="s">
        <v>50</v>
      </c>
      <c r="D120" s="6">
        <v>967.73</v>
      </c>
    </row>
    <row r="121" spans="1:4" x14ac:dyDescent="0.45">
      <c r="A121" s="3">
        <v>2024</v>
      </c>
      <c r="B121" s="3" t="s">
        <v>12</v>
      </c>
      <c r="C121" s="3" t="s">
        <v>50</v>
      </c>
      <c r="D121" s="6">
        <v>976.9</v>
      </c>
    </row>
    <row r="122" spans="1:4" x14ac:dyDescent="0.45">
      <c r="A122" s="3">
        <v>2025</v>
      </c>
      <c r="B122" s="3" t="s">
        <v>12</v>
      </c>
      <c r="C122" s="3" t="s">
        <v>50</v>
      </c>
      <c r="D122" s="6">
        <v>1238.8374999999999</v>
      </c>
    </row>
    <row r="123" spans="1:4" x14ac:dyDescent="0.45">
      <c r="A123" s="3">
        <v>2026</v>
      </c>
      <c r="B123" s="3" t="s">
        <v>12</v>
      </c>
      <c r="C123" s="3" t="s">
        <v>50</v>
      </c>
      <c r="D123" s="6">
        <v>1418.5595000000003</v>
      </c>
    </row>
    <row r="124" spans="1:4" x14ac:dyDescent="0.45">
      <c r="A124" s="3">
        <v>2027</v>
      </c>
      <c r="B124" s="3" t="s">
        <v>12</v>
      </c>
      <c r="C124" s="3" t="s">
        <v>50</v>
      </c>
      <c r="D124" s="6">
        <v>1679.5289999999998</v>
      </c>
    </row>
    <row r="125" spans="1:4" x14ac:dyDescent="0.45">
      <c r="A125" s="3">
        <v>2028</v>
      </c>
      <c r="B125" s="3" t="s">
        <v>12</v>
      </c>
      <c r="C125" s="3" t="s">
        <v>50</v>
      </c>
      <c r="D125" s="6">
        <v>2140.4375</v>
      </c>
    </row>
    <row r="126" spans="1:4" x14ac:dyDescent="0.45">
      <c r="A126" s="3">
        <v>2029</v>
      </c>
      <c r="B126" s="3" t="s">
        <v>12</v>
      </c>
      <c r="C126" s="3" t="s">
        <v>50</v>
      </c>
      <c r="D126" s="6">
        <v>2695.8874999999994</v>
      </c>
    </row>
    <row r="127" spans="1:4" x14ac:dyDescent="0.45">
      <c r="A127" s="3">
        <v>2030</v>
      </c>
      <c r="B127" s="3" t="s">
        <v>12</v>
      </c>
      <c r="C127" s="3" t="s">
        <v>50</v>
      </c>
      <c r="D127" s="6">
        <v>3365.8085000000005</v>
      </c>
    </row>
    <row r="128" spans="1:4" x14ac:dyDescent="0.45">
      <c r="A128" s="3">
        <v>2022</v>
      </c>
      <c r="B128" s="3" t="s">
        <v>5</v>
      </c>
      <c r="C128" s="3" t="s">
        <v>44</v>
      </c>
      <c r="D128" s="6">
        <v>405.53</v>
      </c>
    </row>
    <row r="129" spans="1:8" x14ac:dyDescent="0.45">
      <c r="A129" s="3">
        <v>2023</v>
      </c>
      <c r="B129" s="3" t="s">
        <v>5</v>
      </c>
      <c r="C129" s="3" t="s">
        <v>44</v>
      </c>
      <c r="D129" s="6">
        <v>452.8</v>
      </c>
    </row>
    <row r="130" spans="1:8" x14ac:dyDescent="0.45">
      <c r="A130" s="3">
        <v>2024</v>
      </c>
      <c r="B130" s="3" t="s">
        <v>5</v>
      </c>
      <c r="C130" s="3" t="s">
        <v>44</v>
      </c>
      <c r="D130" s="6">
        <v>438</v>
      </c>
    </row>
    <row r="131" spans="1:8" x14ac:dyDescent="0.45">
      <c r="A131" s="3">
        <v>2025</v>
      </c>
      <c r="B131" s="3" t="s">
        <v>5</v>
      </c>
      <c r="C131" s="3" t="s">
        <v>44</v>
      </c>
      <c r="D131" s="6">
        <v>437.44499999999999</v>
      </c>
      <c r="H131" s="7"/>
    </row>
    <row r="132" spans="1:8" x14ac:dyDescent="0.45">
      <c r="A132" s="3">
        <v>2026</v>
      </c>
      <c r="B132" s="3" t="s">
        <v>5</v>
      </c>
      <c r="C132" s="3" t="s">
        <v>44</v>
      </c>
      <c r="D132" s="6">
        <v>525.67199999999991</v>
      </c>
      <c r="H132" s="7"/>
    </row>
    <row r="133" spans="1:8" x14ac:dyDescent="0.45">
      <c r="A133" s="3">
        <v>2027</v>
      </c>
      <c r="B133" s="3" t="s">
        <v>5</v>
      </c>
      <c r="C133" s="3" t="s">
        <v>44</v>
      </c>
      <c r="D133" s="6">
        <v>671.19299999999998</v>
      </c>
      <c r="H133" s="7"/>
    </row>
    <row r="134" spans="1:8" x14ac:dyDescent="0.45">
      <c r="A134" s="3">
        <v>2028</v>
      </c>
      <c r="B134" s="3" t="s">
        <v>5</v>
      </c>
      <c r="C134" s="3" t="s">
        <v>44</v>
      </c>
      <c r="D134" s="6">
        <v>966.00600000000009</v>
      </c>
      <c r="H134" s="7"/>
    </row>
    <row r="135" spans="1:8" x14ac:dyDescent="0.45">
      <c r="A135" s="3">
        <v>2029</v>
      </c>
      <c r="B135" s="3" t="s">
        <v>5</v>
      </c>
      <c r="C135" s="3" t="s">
        <v>44</v>
      </c>
      <c r="D135" s="6">
        <v>1326.5819999999999</v>
      </c>
      <c r="H135" s="7"/>
    </row>
    <row r="136" spans="1:8" x14ac:dyDescent="0.45">
      <c r="A136" s="3">
        <v>2030</v>
      </c>
      <c r="B136" s="3" t="s">
        <v>5</v>
      </c>
      <c r="C136" s="3" t="s">
        <v>44</v>
      </c>
      <c r="D136" s="6">
        <v>1767.2849999999999</v>
      </c>
      <c r="H136" s="7"/>
    </row>
    <row r="137" spans="1:8" x14ac:dyDescent="0.45">
      <c r="A137" s="3">
        <v>2022</v>
      </c>
      <c r="B137" s="3" t="s">
        <v>5</v>
      </c>
      <c r="C137" s="3" t="s">
        <v>45</v>
      </c>
      <c r="D137" s="6">
        <v>181.45</v>
      </c>
    </row>
    <row r="138" spans="1:8" x14ac:dyDescent="0.45">
      <c r="A138" s="3">
        <v>2023</v>
      </c>
      <c r="B138" s="3" t="s">
        <v>5</v>
      </c>
      <c r="C138" s="3" t="s">
        <v>45</v>
      </c>
      <c r="D138" s="6">
        <v>251.01</v>
      </c>
    </row>
    <row r="139" spans="1:8" x14ac:dyDescent="0.45">
      <c r="A139" s="3">
        <v>2024</v>
      </c>
      <c r="B139" s="3" t="s">
        <v>5</v>
      </c>
      <c r="C139" s="3" t="s">
        <v>45</v>
      </c>
      <c r="D139" s="6">
        <v>250.24</v>
      </c>
    </row>
    <row r="140" spans="1:8" x14ac:dyDescent="0.45">
      <c r="A140" s="3">
        <v>2025</v>
      </c>
      <c r="B140" s="3" t="s">
        <v>5</v>
      </c>
      <c r="C140" s="3" t="s">
        <v>45</v>
      </c>
      <c r="D140" s="6">
        <v>240.98400000000001</v>
      </c>
    </row>
    <row r="141" spans="1:8" x14ac:dyDescent="0.45">
      <c r="A141" s="3">
        <v>2026</v>
      </c>
      <c r="B141" s="3" t="s">
        <v>5</v>
      </c>
      <c r="C141" s="3" t="s">
        <v>45</v>
      </c>
      <c r="D141" s="6">
        <v>257.85000000000002</v>
      </c>
    </row>
    <row r="142" spans="1:8" x14ac:dyDescent="0.45">
      <c r="A142" s="3">
        <v>2027</v>
      </c>
      <c r="B142" s="3" t="s">
        <v>5</v>
      </c>
      <c r="C142" s="3" t="s">
        <v>45</v>
      </c>
      <c r="D142" s="6">
        <v>275.904</v>
      </c>
    </row>
    <row r="143" spans="1:8" x14ac:dyDescent="0.45">
      <c r="A143" s="3">
        <v>2028</v>
      </c>
      <c r="B143" s="3" t="s">
        <v>5</v>
      </c>
      <c r="C143" s="3" t="s">
        <v>45</v>
      </c>
      <c r="D143" s="6">
        <v>295.21800000000002</v>
      </c>
    </row>
    <row r="144" spans="1:8" x14ac:dyDescent="0.45">
      <c r="A144" s="3">
        <v>2029</v>
      </c>
      <c r="B144" s="3" t="s">
        <v>5</v>
      </c>
      <c r="C144" s="3" t="s">
        <v>45</v>
      </c>
      <c r="D144" s="6">
        <v>315.88200000000001</v>
      </c>
    </row>
    <row r="145" spans="1:4" x14ac:dyDescent="0.45">
      <c r="A145" s="3">
        <v>2030</v>
      </c>
      <c r="B145" s="3" t="s">
        <v>5</v>
      </c>
      <c r="C145" s="3" t="s">
        <v>45</v>
      </c>
      <c r="D145" s="6">
        <v>337.995</v>
      </c>
    </row>
    <row r="146" spans="1:4" x14ac:dyDescent="0.45">
      <c r="A146" s="3">
        <v>2022</v>
      </c>
      <c r="B146" s="3" t="s">
        <v>5</v>
      </c>
      <c r="C146" s="3" t="s">
        <v>46</v>
      </c>
      <c r="D146" s="6">
        <v>80</v>
      </c>
    </row>
    <row r="147" spans="1:4" x14ac:dyDescent="0.45">
      <c r="A147" s="3">
        <v>2023</v>
      </c>
      <c r="B147" s="3" t="s">
        <v>5</v>
      </c>
      <c r="C147" s="3" t="s">
        <v>46</v>
      </c>
      <c r="D147" s="6">
        <v>100.41</v>
      </c>
    </row>
    <row r="148" spans="1:4" x14ac:dyDescent="0.45">
      <c r="A148" s="3">
        <v>2024</v>
      </c>
      <c r="B148" s="3" t="s">
        <v>5</v>
      </c>
      <c r="C148" s="3" t="s">
        <v>46</v>
      </c>
      <c r="D148" s="6">
        <v>104.26</v>
      </c>
    </row>
    <row r="149" spans="1:4" x14ac:dyDescent="0.45">
      <c r="A149" s="3">
        <v>2025</v>
      </c>
      <c r="B149" s="3" t="s">
        <v>5</v>
      </c>
      <c r="C149" s="3" t="s">
        <v>46</v>
      </c>
      <c r="D149" s="6">
        <v>105.093</v>
      </c>
    </row>
    <row r="150" spans="1:4" x14ac:dyDescent="0.45">
      <c r="A150" s="3">
        <v>2026</v>
      </c>
      <c r="B150" s="3" t="s">
        <v>5</v>
      </c>
      <c r="C150" s="3" t="s">
        <v>46</v>
      </c>
      <c r="D150" s="6">
        <v>117.702</v>
      </c>
    </row>
    <row r="151" spans="1:4" x14ac:dyDescent="0.45">
      <c r="A151" s="3">
        <v>2027</v>
      </c>
      <c r="B151" s="3" t="s">
        <v>5</v>
      </c>
      <c r="C151" s="3" t="s">
        <v>46</v>
      </c>
      <c r="D151" s="6">
        <v>131.82300000000001</v>
      </c>
    </row>
    <row r="152" spans="1:4" x14ac:dyDescent="0.45">
      <c r="A152" s="3">
        <v>2028</v>
      </c>
      <c r="B152" s="3" t="s">
        <v>5</v>
      </c>
      <c r="C152" s="3" t="s">
        <v>46</v>
      </c>
      <c r="D152" s="6">
        <v>147.64500000000001</v>
      </c>
    </row>
    <row r="153" spans="1:4" x14ac:dyDescent="0.45">
      <c r="A153" s="3">
        <v>2029</v>
      </c>
      <c r="B153" s="3" t="s">
        <v>5</v>
      </c>
      <c r="C153" s="3" t="s">
        <v>46</v>
      </c>
      <c r="D153" s="6">
        <v>165.36600000000001</v>
      </c>
    </row>
    <row r="154" spans="1:4" x14ac:dyDescent="0.45">
      <c r="A154" s="3">
        <v>2030</v>
      </c>
      <c r="B154" s="3" t="s">
        <v>5</v>
      </c>
      <c r="C154" s="3" t="s">
        <v>46</v>
      </c>
      <c r="D154" s="6">
        <v>185.21100000000001</v>
      </c>
    </row>
    <row r="155" spans="1:4" x14ac:dyDescent="0.45">
      <c r="A155" s="3">
        <v>2022</v>
      </c>
      <c r="B155" s="3" t="s">
        <v>5</v>
      </c>
      <c r="C155" s="3" t="s">
        <v>47</v>
      </c>
      <c r="D155" s="6">
        <v>40</v>
      </c>
    </row>
    <row r="156" spans="1:4" x14ac:dyDescent="0.45">
      <c r="A156" s="3">
        <v>2023</v>
      </c>
      <c r="B156" s="3" t="s">
        <v>5</v>
      </c>
      <c r="C156" s="3" t="s">
        <v>47</v>
      </c>
      <c r="D156" s="6">
        <v>55.78</v>
      </c>
    </row>
    <row r="157" spans="1:4" x14ac:dyDescent="0.45">
      <c r="A157" s="3">
        <v>2024</v>
      </c>
      <c r="B157" s="3" t="s">
        <v>5</v>
      </c>
      <c r="C157" s="3" t="s">
        <v>47</v>
      </c>
      <c r="D157" s="6">
        <v>62.56</v>
      </c>
    </row>
    <row r="158" spans="1:4" x14ac:dyDescent="0.45">
      <c r="A158" s="3">
        <v>2025</v>
      </c>
      <c r="B158" s="3" t="s">
        <v>5</v>
      </c>
      <c r="C158" s="3" t="s">
        <v>47</v>
      </c>
      <c r="D158" s="6">
        <v>67.563000000000002</v>
      </c>
    </row>
    <row r="159" spans="1:4" x14ac:dyDescent="0.45">
      <c r="A159" s="3">
        <v>2026</v>
      </c>
      <c r="B159" s="3" t="s">
        <v>5</v>
      </c>
      <c r="C159" s="3" t="s">
        <v>47</v>
      </c>
      <c r="D159" s="6">
        <v>81.072000000000003</v>
      </c>
    </row>
    <row r="160" spans="1:4" x14ac:dyDescent="0.45">
      <c r="A160" s="3">
        <v>2027</v>
      </c>
      <c r="B160" s="3" t="s">
        <v>5</v>
      </c>
      <c r="C160" s="3" t="s">
        <v>47</v>
      </c>
      <c r="D160" s="6">
        <v>97.29</v>
      </c>
    </row>
    <row r="161" spans="1:4" x14ac:dyDescent="0.45">
      <c r="A161" s="3">
        <v>2028</v>
      </c>
      <c r="B161" s="3" t="s">
        <v>5</v>
      </c>
      <c r="C161" s="3" t="s">
        <v>47</v>
      </c>
      <c r="D161" s="6">
        <v>116.748</v>
      </c>
    </row>
    <row r="162" spans="1:4" x14ac:dyDescent="0.45">
      <c r="A162" s="3">
        <v>2029</v>
      </c>
      <c r="B162" s="3" t="s">
        <v>5</v>
      </c>
      <c r="C162" s="3" t="s">
        <v>47</v>
      </c>
      <c r="D162" s="6">
        <v>140.09399999999999</v>
      </c>
    </row>
    <row r="163" spans="1:4" x14ac:dyDescent="0.45">
      <c r="A163" s="3">
        <v>2030</v>
      </c>
      <c r="B163" s="3" t="s">
        <v>5</v>
      </c>
      <c r="C163" s="3" t="s">
        <v>47</v>
      </c>
      <c r="D163" s="6">
        <v>168.11099999999999</v>
      </c>
    </row>
    <row r="164" spans="1:4" x14ac:dyDescent="0.45">
      <c r="A164" s="3">
        <v>2022</v>
      </c>
      <c r="B164" s="3" t="s">
        <v>5</v>
      </c>
      <c r="C164" s="3" t="s">
        <v>48</v>
      </c>
      <c r="D164" s="6">
        <v>15</v>
      </c>
    </row>
    <row r="165" spans="1:4" x14ac:dyDescent="0.45">
      <c r="A165" s="3">
        <v>2023</v>
      </c>
      <c r="B165" s="3" t="s">
        <v>5</v>
      </c>
      <c r="C165" s="3" t="s">
        <v>48</v>
      </c>
      <c r="D165" s="6">
        <v>20.079999999999998</v>
      </c>
    </row>
    <row r="166" spans="1:4" x14ac:dyDescent="0.45">
      <c r="A166" s="3">
        <v>2024</v>
      </c>
      <c r="B166" s="3" t="s">
        <v>5</v>
      </c>
      <c r="C166" s="3" t="s">
        <v>48</v>
      </c>
      <c r="D166" s="6">
        <v>20.85</v>
      </c>
    </row>
    <row r="167" spans="1:4" x14ac:dyDescent="0.45">
      <c r="A167" s="3">
        <v>2025</v>
      </c>
      <c r="B167" s="3" t="s">
        <v>5</v>
      </c>
      <c r="C167" s="3" t="s">
        <v>48</v>
      </c>
      <c r="D167" s="6">
        <v>21.582000000000001</v>
      </c>
    </row>
    <row r="168" spans="1:4" x14ac:dyDescent="0.45">
      <c r="A168" s="3">
        <v>2026</v>
      </c>
      <c r="B168" s="3" t="s">
        <v>5</v>
      </c>
      <c r="C168" s="3" t="s">
        <v>48</v>
      </c>
      <c r="D168" s="6">
        <v>24.821999999999999</v>
      </c>
    </row>
    <row r="169" spans="1:4" x14ac:dyDescent="0.45">
      <c r="A169" s="3">
        <v>2027</v>
      </c>
      <c r="B169" s="3" t="s">
        <v>5</v>
      </c>
      <c r="C169" s="3" t="s">
        <v>48</v>
      </c>
      <c r="D169" s="6">
        <v>28.547999999999998</v>
      </c>
    </row>
    <row r="170" spans="1:4" x14ac:dyDescent="0.45">
      <c r="A170" s="3">
        <v>2028</v>
      </c>
      <c r="B170" s="3" t="s">
        <v>5</v>
      </c>
      <c r="C170" s="3" t="s">
        <v>48</v>
      </c>
      <c r="D170" s="6">
        <v>32.832000000000001</v>
      </c>
    </row>
    <row r="171" spans="1:4" x14ac:dyDescent="0.45">
      <c r="A171" s="3">
        <v>2029</v>
      </c>
      <c r="B171" s="3" t="s">
        <v>5</v>
      </c>
      <c r="C171" s="3" t="s">
        <v>48</v>
      </c>
      <c r="D171" s="6">
        <v>37.755000000000003</v>
      </c>
    </row>
    <row r="172" spans="1:4" x14ac:dyDescent="0.45">
      <c r="A172" s="3">
        <v>2030</v>
      </c>
      <c r="B172" s="3" t="s">
        <v>5</v>
      </c>
      <c r="C172" s="3" t="s">
        <v>48</v>
      </c>
      <c r="D172" s="6">
        <v>43.415999999999997</v>
      </c>
    </row>
    <row r="173" spans="1:4" x14ac:dyDescent="0.45">
      <c r="A173" s="3">
        <v>2022</v>
      </c>
      <c r="B173" s="3" t="s">
        <v>5</v>
      </c>
      <c r="C173" s="3" t="s">
        <v>49</v>
      </c>
      <c r="D173" s="6">
        <v>92.64</v>
      </c>
    </row>
    <row r="174" spans="1:4" x14ac:dyDescent="0.45">
      <c r="A174" s="3">
        <v>2023</v>
      </c>
      <c r="B174" s="3" t="s">
        <v>5</v>
      </c>
      <c r="C174" s="3" t="s">
        <v>49</v>
      </c>
      <c r="D174" s="6">
        <v>87.82</v>
      </c>
    </row>
    <row r="175" spans="1:4" x14ac:dyDescent="0.45">
      <c r="A175" s="3">
        <v>2024</v>
      </c>
      <c r="B175" s="3" t="s">
        <v>5</v>
      </c>
      <c r="C175" s="3" t="s">
        <v>49</v>
      </c>
      <c r="D175" s="6">
        <v>101.15</v>
      </c>
    </row>
    <row r="176" spans="1:4" x14ac:dyDescent="0.45">
      <c r="A176" s="3">
        <v>2025</v>
      </c>
      <c r="B176" s="3" t="s">
        <v>5</v>
      </c>
      <c r="C176" s="3" t="s">
        <v>49</v>
      </c>
      <c r="D176" s="6">
        <v>96.858000000000004</v>
      </c>
    </row>
    <row r="177" spans="1:4" x14ac:dyDescent="0.45">
      <c r="A177" s="3">
        <v>2026</v>
      </c>
      <c r="B177" s="3" t="s">
        <v>5</v>
      </c>
      <c r="C177" s="3" t="s">
        <v>49</v>
      </c>
      <c r="D177" s="6">
        <v>103.059</v>
      </c>
    </row>
    <row r="178" spans="1:4" x14ac:dyDescent="0.45">
      <c r="A178" s="3">
        <v>2027</v>
      </c>
      <c r="B178" s="3" t="s">
        <v>5</v>
      </c>
      <c r="C178" s="3" t="s">
        <v>49</v>
      </c>
      <c r="D178" s="6">
        <v>109.65600000000001</v>
      </c>
    </row>
    <row r="179" spans="1:4" x14ac:dyDescent="0.45">
      <c r="A179" s="3">
        <v>2028</v>
      </c>
      <c r="B179" s="3" t="s">
        <v>5</v>
      </c>
      <c r="C179" s="3" t="s">
        <v>49</v>
      </c>
      <c r="D179" s="6">
        <v>116.676</v>
      </c>
    </row>
    <row r="180" spans="1:4" x14ac:dyDescent="0.45">
      <c r="A180" s="3">
        <v>2029</v>
      </c>
      <c r="B180" s="3" t="s">
        <v>5</v>
      </c>
      <c r="C180" s="3" t="s">
        <v>49</v>
      </c>
      <c r="D180" s="6">
        <v>124.146</v>
      </c>
    </row>
    <row r="181" spans="1:4" x14ac:dyDescent="0.45">
      <c r="A181" s="3">
        <v>2030</v>
      </c>
      <c r="B181" s="3" t="s">
        <v>5</v>
      </c>
      <c r="C181" s="3" t="s">
        <v>49</v>
      </c>
      <c r="D181" s="6">
        <v>132.09299999999999</v>
      </c>
    </row>
    <row r="182" spans="1:4" x14ac:dyDescent="0.45">
      <c r="A182" s="3">
        <v>2022</v>
      </c>
      <c r="B182" s="3" t="s">
        <v>5</v>
      </c>
      <c r="C182" s="3" t="s">
        <v>50</v>
      </c>
      <c r="D182" s="6">
        <v>814.62</v>
      </c>
    </row>
    <row r="183" spans="1:4" x14ac:dyDescent="0.45">
      <c r="A183" s="3">
        <v>2023</v>
      </c>
      <c r="B183" s="3" t="s">
        <v>5</v>
      </c>
      <c r="C183" s="3" t="s">
        <v>50</v>
      </c>
      <c r="D183" s="6">
        <v>967.73</v>
      </c>
    </row>
    <row r="184" spans="1:4" x14ac:dyDescent="0.45">
      <c r="A184" s="3">
        <v>2024</v>
      </c>
      <c r="B184" s="3" t="s">
        <v>5</v>
      </c>
      <c r="C184" s="3" t="s">
        <v>50</v>
      </c>
      <c r="D184" s="6">
        <v>976.9</v>
      </c>
    </row>
    <row r="185" spans="1:4" x14ac:dyDescent="0.45">
      <c r="A185" s="3">
        <v>2025</v>
      </c>
      <c r="B185" s="3" t="s">
        <v>5</v>
      </c>
      <c r="C185" s="3" t="s">
        <v>50</v>
      </c>
      <c r="D185" s="6">
        <v>969.52499999999986</v>
      </c>
    </row>
    <row r="186" spans="1:4" x14ac:dyDescent="0.45">
      <c r="A186" s="3">
        <v>2026</v>
      </c>
      <c r="B186" s="3" t="s">
        <v>5</v>
      </c>
      <c r="C186" s="3" t="s">
        <v>50</v>
      </c>
      <c r="D186" s="6">
        <v>1110.1769999999999</v>
      </c>
    </row>
    <row r="187" spans="1:4" x14ac:dyDescent="0.45">
      <c r="A187" s="3">
        <v>2027</v>
      </c>
      <c r="B187" s="3" t="s">
        <v>5</v>
      </c>
      <c r="C187" s="3" t="s">
        <v>50</v>
      </c>
      <c r="D187" s="6">
        <v>1314.414</v>
      </c>
    </row>
    <row r="188" spans="1:4" x14ac:dyDescent="0.45">
      <c r="A188" s="3">
        <v>2028</v>
      </c>
      <c r="B188" s="3" t="s">
        <v>5</v>
      </c>
      <c r="C188" s="3" t="s">
        <v>50</v>
      </c>
      <c r="D188" s="6">
        <v>1675.1250000000002</v>
      </c>
    </row>
    <row r="189" spans="1:4" x14ac:dyDescent="0.45">
      <c r="A189" s="3">
        <v>2029</v>
      </c>
      <c r="B189" s="3" t="s">
        <v>5</v>
      </c>
      <c r="C189" s="3" t="s">
        <v>50</v>
      </c>
      <c r="D189" s="6">
        <v>2109.8250000000003</v>
      </c>
    </row>
    <row r="190" spans="1:4" x14ac:dyDescent="0.45">
      <c r="A190" s="3">
        <v>2030</v>
      </c>
      <c r="B190" s="3" t="s">
        <v>5</v>
      </c>
      <c r="C190" s="3" t="s">
        <v>50</v>
      </c>
      <c r="D190" s="6">
        <v>2634.1109999999999</v>
      </c>
    </row>
  </sheetData>
  <autoFilter ref="A1:H1" xr:uid="{C80B7E88-3108-42CC-B320-CF1832D9B49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4D1B-3ECE-4B68-A9F7-9A991FBE60F5}">
  <dimension ref="A1:J13"/>
  <sheetViews>
    <sheetView workbookViewId="0">
      <selection activeCell="H13" sqref="H13"/>
    </sheetView>
  </sheetViews>
  <sheetFormatPr defaultRowHeight="14.25" x14ac:dyDescent="0.45"/>
  <cols>
    <col min="4" max="4" width="11.19921875" bestFit="1" customWidth="1"/>
  </cols>
  <sheetData>
    <row r="1" spans="1:10" ht="28.5" x14ac:dyDescent="0.45">
      <c r="A1" s="2" t="s">
        <v>51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</row>
    <row r="2" spans="1:10" ht="28.5" x14ac:dyDescent="0.45">
      <c r="A2" s="3" t="s">
        <v>60</v>
      </c>
      <c r="B2" s="3" t="s">
        <v>14</v>
      </c>
      <c r="C2" s="3" t="s">
        <v>63</v>
      </c>
      <c r="D2" s="8">
        <f>(H2/F2)^(1/6)-1</f>
        <v>0.20066976781865087</v>
      </c>
      <c r="E2" s="3">
        <v>2024</v>
      </c>
      <c r="F2" s="3">
        <v>976.9</v>
      </c>
      <c r="G2" s="3">
        <v>2030</v>
      </c>
      <c r="H2" s="3">
        <v>2926.79</v>
      </c>
      <c r="I2" s="3">
        <f>H2-F2</f>
        <v>1949.8899999999999</v>
      </c>
      <c r="J2" s="4">
        <f>I2/F2</f>
        <v>1.9959975432490531</v>
      </c>
    </row>
    <row r="3" spans="1:10" ht="28.5" x14ac:dyDescent="0.45">
      <c r="A3" s="3" t="s">
        <v>60</v>
      </c>
      <c r="B3" s="3" t="s">
        <v>5</v>
      </c>
      <c r="C3" s="3" t="s">
        <v>63</v>
      </c>
      <c r="D3" s="8">
        <f t="shared" ref="D3:D7" si="0">(H3/F3)^(1/6)-1</f>
        <v>0.17976994192329565</v>
      </c>
      <c r="E3" s="3">
        <v>2024</v>
      </c>
      <c r="F3" s="3">
        <v>976.9</v>
      </c>
      <c r="G3" s="3">
        <v>2030</v>
      </c>
      <c r="H3" s="3">
        <v>2634.1109999999999</v>
      </c>
      <c r="I3" s="3">
        <f t="shared" ref="I3:I4" si="1">H3-F3</f>
        <v>1657.2109999999998</v>
      </c>
      <c r="J3" s="4">
        <f t="shared" ref="J3:J4" si="2">I3/F3</f>
        <v>1.6963977889241477</v>
      </c>
    </row>
    <row r="4" spans="1:10" ht="28.5" x14ac:dyDescent="0.45">
      <c r="A4" s="3" t="s">
        <v>60</v>
      </c>
      <c r="B4" s="3" t="s">
        <v>12</v>
      </c>
      <c r="C4" s="3" t="s">
        <v>63</v>
      </c>
      <c r="D4" s="8">
        <f t="shared" si="0"/>
        <v>0.22896604002757992</v>
      </c>
      <c r="E4" s="3">
        <v>2024</v>
      </c>
      <c r="F4" s="3">
        <v>976.9</v>
      </c>
      <c r="G4" s="3">
        <v>2030</v>
      </c>
      <c r="H4" s="3">
        <v>3365.8085000000005</v>
      </c>
      <c r="I4" s="3">
        <f t="shared" si="1"/>
        <v>2388.9085000000005</v>
      </c>
      <c r="J4" s="4">
        <f t="shared" si="2"/>
        <v>2.4453971747364118</v>
      </c>
    </row>
    <row r="5" spans="1:10" ht="28.5" x14ac:dyDescent="0.45">
      <c r="A5" s="3" t="s">
        <v>61</v>
      </c>
      <c r="B5" s="3" t="s">
        <v>14</v>
      </c>
      <c r="C5" s="3" t="s">
        <v>63</v>
      </c>
      <c r="D5" s="8">
        <f t="shared" si="0"/>
        <v>0.16376068426191503</v>
      </c>
      <c r="E5" s="3">
        <v>2024</v>
      </c>
      <c r="F5" s="3">
        <v>976.9</v>
      </c>
      <c r="G5" s="3">
        <v>2030</v>
      </c>
      <c r="H5" s="3">
        <v>2426.79</v>
      </c>
      <c r="I5" s="3">
        <v>1449.89</v>
      </c>
      <c r="J5" s="4">
        <v>1.48</v>
      </c>
    </row>
    <row r="6" spans="1:10" ht="28.5" x14ac:dyDescent="0.45">
      <c r="A6" s="3" t="s">
        <v>61</v>
      </c>
      <c r="B6" s="3" t="s">
        <v>5</v>
      </c>
      <c r="C6" s="3" t="s">
        <v>63</v>
      </c>
      <c r="D6" s="8">
        <f t="shared" si="0"/>
        <v>0.14350332762910689</v>
      </c>
      <c r="E6" s="3">
        <v>2024</v>
      </c>
      <c r="F6" s="3">
        <v>976.9</v>
      </c>
      <c r="G6" s="3">
        <v>2030</v>
      </c>
      <c r="H6" s="3">
        <v>2184.1109999999999</v>
      </c>
      <c r="I6" s="3">
        <v>1207.211</v>
      </c>
      <c r="J6" s="4">
        <v>1.24</v>
      </c>
    </row>
    <row r="7" spans="1:10" ht="28.5" x14ac:dyDescent="0.45">
      <c r="A7" s="3" t="s">
        <v>61</v>
      </c>
      <c r="B7" s="3" t="s">
        <v>12</v>
      </c>
      <c r="C7" s="3" t="s">
        <v>63</v>
      </c>
      <c r="D7" s="8">
        <f t="shared" si="0"/>
        <v>0.19118708183117761</v>
      </c>
      <c r="E7" s="3">
        <v>2024</v>
      </c>
      <c r="F7" s="3">
        <v>976.9</v>
      </c>
      <c r="G7" s="3">
        <v>2030</v>
      </c>
      <c r="H7" s="3">
        <v>2790.808</v>
      </c>
      <c r="I7" s="3">
        <v>1813.9079999999999</v>
      </c>
      <c r="J7" s="4">
        <v>1.86</v>
      </c>
    </row>
    <row r="8" spans="1:10" ht="28.5" x14ac:dyDescent="0.45">
      <c r="A8" s="3" t="s">
        <v>62</v>
      </c>
      <c r="B8" s="3" t="s">
        <v>14</v>
      </c>
      <c r="C8" s="3" t="s">
        <v>64</v>
      </c>
      <c r="D8" s="8">
        <f>(H8/F8)^(1/3)-1</f>
        <v>1.7144176165949063</v>
      </c>
      <c r="E8" s="3">
        <v>2027</v>
      </c>
      <c r="F8" s="3">
        <v>25</v>
      </c>
      <c r="G8" s="3">
        <v>2030</v>
      </c>
      <c r="H8" s="3">
        <v>500</v>
      </c>
      <c r="I8" s="3">
        <v>475</v>
      </c>
      <c r="J8" s="4">
        <v>19</v>
      </c>
    </row>
    <row r="9" spans="1:10" ht="28.5" x14ac:dyDescent="0.45">
      <c r="A9" s="3" t="s">
        <v>62</v>
      </c>
      <c r="B9" s="3" t="s">
        <v>5</v>
      </c>
      <c r="C9" s="3" t="s">
        <v>64</v>
      </c>
      <c r="D9" s="8">
        <f t="shared" ref="D9:D10" si="3">(H9/F9)^(1/3)-1</f>
        <v>1.7144176165949063</v>
      </c>
      <c r="E9" s="3">
        <v>2027</v>
      </c>
      <c r="F9" s="3">
        <v>22.5</v>
      </c>
      <c r="G9" s="3">
        <v>2030</v>
      </c>
      <c r="H9" s="3">
        <v>450</v>
      </c>
      <c r="I9" s="3">
        <v>427.5</v>
      </c>
      <c r="J9" s="4">
        <v>19</v>
      </c>
    </row>
    <row r="10" spans="1:10" ht="28.5" x14ac:dyDescent="0.45">
      <c r="A10" s="3" t="s">
        <v>62</v>
      </c>
      <c r="B10" s="3" t="s">
        <v>12</v>
      </c>
      <c r="C10" s="3" t="s">
        <v>64</v>
      </c>
      <c r="D10" s="8">
        <f t="shared" si="3"/>
        <v>1.7144176165949063</v>
      </c>
      <c r="E10" s="3">
        <v>2027</v>
      </c>
      <c r="F10" s="3">
        <v>28.75</v>
      </c>
      <c r="G10" s="3">
        <v>2030</v>
      </c>
      <c r="H10" s="3">
        <v>575</v>
      </c>
      <c r="I10" s="3">
        <v>546.25</v>
      </c>
      <c r="J10" s="4">
        <v>19</v>
      </c>
    </row>
    <row r="11" spans="1:10" ht="28.5" x14ac:dyDescent="0.45">
      <c r="A11" s="3" t="s">
        <v>65</v>
      </c>
      <c r="B11" s="3" t="s">
        <v>5</v>
      </c>
      <c r="C11" s="3" t="s">
        <v>63</v>
      </c>
      <c r="D11" s="8">
        <v>1.1797699419232957</v>
      </c>
      <c r="E11" s="3">
        <v>2024</v>
      </c>
      <c r="F11" s="3">
        <v>976.9</v>
      </c>
      <c r="G11" s="3">
        <v>2030</v>
      </c>
      <c r="H11" s="3">
        <v>2634.1109999999999</v>
      </c>
      <c r="I11" s="3">
        <v>1657.2109999999998</v>
      </c>
      <c r="J11" s="4">
        <v>1.6963977889241477</v>
      </c>
    </row>
    <row r="12" spans="1:10" ht="28.5" x14ac:dyDescent="0.45">
      <c r="A12" s="3" t="s">
        <v>65</v>
      </c>
      <c r="B12" s="3" t="s">
        <v>12</v>
      </c>
      <c r="C12" s="3" t="s">
        <v>63</v>
      </c>
      <c r="D12" s="8">
        <v>1.2289660400275799</v>
      </c>
      <c r="E12" s="3">
        <v>2024</v>
      </c>
      <c r="F12" s="3">
        <v>976.9</v>
      </c>
      <c r="G12" s="3">
        <v>2030</v>
      </c>
      <c r="H12" s="3">
        <v>3365.8085000000001</v>
      </c>
      <c r="I12" s="3">
        <v>2388.9085</v>
      </c>
      <c r="J12" s="4">
        <v>2.4453971747364109</v>
      </c>
    </row>
    <row r="13" spans="1:10" ht="28.5" x14ac:dyDescent="0.45">
      <c r="A13" s="3" t="s">
        <v>65</v>
      </c>
      <c r="B13" s="3" t="s">
        <v>14</v>
      </c>
      <c r="C13" s="3" t="s">
        <v>63</v>
      </c>
      <c r="D13" s="8">
        <v>1.2006697678186509</v>
      </c>
      <c r="E13" s="3">
        <v>2024</v>
      </c>
      <c r="F13" s="3">
        <v>976.9</v>
      </c>
      <c r="G13" s="3">
        <v>2030</v>
      </c>
      <c r="H13" s="3">
        <v>2926.79</v>
      </c>
      <c r="I13" s="3">
        <v>1949.8899999999999</v>
      </c>
      <c r="J13" s="4">
        <v>1.9959975432490531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All_2030业务结构预测</vt:lpstr>
      <vt:lpstr>All_最终合并预测</vt:lpstr>
      <vt:lpstr>All_新增业务预测</vt:lpstr>
      <vt:lpstr>All_传统业务预测</vt:lpstr>
      <vt:lpstr>All_各地区收入预测</vt:lpstr>
      <vt:lpstr>CAGR_Analysis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2026-01-16T11:59:54Z</dcterms:modified>
</cp:coreProperties>
</file>