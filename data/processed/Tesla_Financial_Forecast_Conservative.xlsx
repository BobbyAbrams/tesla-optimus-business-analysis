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esla-optimus-business-analysis\data\processed\"/>
    </mc:Choice>
  </mc:AlternateContent>
  <xr:revisionPtr revIDLastSave="0" documentId="13_ncr:1_{A2CB6F13-AEF2-4E90-93A8-3191FF2A7BBA}" xr6:coauthVersionLast="47" xr6:coauthVersionMax="47" xr10:uidLastSave="{00000000-0000-0000-0000-000000000000}"/>
  <bookViews>
    <workbookView xWindow="-98" yWindow="-98" windowWidth="22695" windowHeight="14595" firstSheet="1" activeTab="3" xr2:uid="{00000000-000D-0000-FFFF-FFFF00000000}"/>
  </bookViews>
  <sheets>
    <sheet name="Income Statement (conservative)" sheetId="1" r:id="rId1"/>
    <sheet name="Balance Sheet (conservative)" sheetId="2" r:id="rId2"/>
    <sheet name="Cash Flow (conservative)" sheetId="3" r:id="rId3"/>
    <sheet name="Financial Ratios (conservative)" sheetId="4" r:id="rId4"/>
    <sheet name="Growth Analysis (conservative)" sheetId="5" r:id="rId5"/>
    <sheet name="Revenue Details (conservative)" sheetId="6" r:id="rId6"/>
    <sheet name="Executive Summary (conservative" sheetId="7" r:id="rId7"/>
  </sheets>
  <externalReferences>
    <externalReference r:id="rId8"/>
  </externalReferences>
  <calcPr calcId="191029"/>
</workbook>
</file>

<file path=xl/calcChain.xml><?xml version="1.0" encoding="utf-8"?>
<calcChain xmlns="http://schemas.openxmlformats.org/spreadsheetml/2006/main">
  <c r="K10" i="4" l="1"/>
  <c r="J10" i="4"/>
  <c r="K9" i="4"/>
  <c r="J9" i="4"/>
  <c r="K8" i="4"/>
  <c r="J8" i="4"/>
  <c r="K7" i="4"/>
  <c r="J7" i="4"/>
  <c r="K6" i="4"/>
  <c r="J6" i="4"/>
  <c r="K5" i="4"/>
  <c r="J5" i="4"/>
  <c r="K4" i="4"/>
  <c r="J4" i="4"/>
  <c r="K3" i="4"/>
  <c r="J3" i="4"/>
</calcChain>
</file>

<file path=xl/sharedStrings.xml><?xml version="1.0" encoding="utf-8"?>
<sst xmlns="http://schemas.openxmlformats.org/spreadsheetml/2006/main" count="120" uniqueCount="84">
  <si>
    <t>Year</t>
  </si>
  <si>
    <t>Total Revenue</t>
  </si>
  <si>
    <t>Automotive Sales Revenue</t>
  </si>
  <si>
    <t>Automotive Regulatory Credits</t>
  </si>
  <si>
    <t>Automotive Leasing Revenue</t>
  </si>
  <si>
    <t>Energy Revenue</t>
  </si>
  <si>
    <t>Services Revenue</t>
  </si>
  <si>
    <t>Cost of Revenue</t>
  </si>
  <si>
    <t>Gross Profit</t>
  </si>
  <si>
    <t>R&amp;D Expense</t>
  </si>
  <si>
    <t>SG&amp;A Expense</t>
  </si>
  <si>
    <t>Restructuring Expense</t>
  </si>
  <si>
    <t>Total Operating Expenses</t>
  </si>
  <si>
    <t>Operating Income</t>
  </si>
  <si>
    <t>Interest Income</t>
  </si>
  <si>
    <t>Interest Expense</t>
  </si>
  <si>
    <t>Other Income</t>
  </si>
  <si>
    <t>Income Before Taxes</t>
  </si>
  <si>
    <t>Tax Provision</t>
  </si>
  <si>
    <t>Net Income</t>
  </si>
  <si>
    <t>Cash</t>
  </si>
  <si>
    <t>Short Term Investments</t>
  </si>
  <si>
    <t>Accounts Receivable</t>
  </si>
  <si>
    <t>Inventory</t>
  </si>
  <si>
    <t>Prepaid Expenses</t>
  </si>
  <si>
    <t>Total Current Assets</t>
  </si>
  <si>
    <t>PPE Net</t>
  </si>
  <si>
    <t>Total Assets</t>
  </si>
  <si>
    <t>Accounts Payable</t>
  </si>
  <si>
    <t>Accrued Liabilities</t>
  </si>
  <si>
    <t>Deferred Revenue</t>
  </si>
  <si>
    <t>Current Debt</t>
  </si>
  <si>
    <t>Long Term Debt</t>
  </si>
  <si>
    <t>Total Liabilities</t>
  </si>
  <si>
    <t>Total Equity</t>
  </si>
  <si>
    <t>Retained Earnings</t>
  </si>
  <si>
    <t>Depreciation</t>
  </si>
  <si>
    <t>Operating Cash Flow</t>
  </si>
  <si>
    <t>Investing Cash Flow</t>
  </si>
  <si>
    <t>Financing Cash Flow</t>
  </si>
  <si>
    <t>Net Cash Flow</t>
  </si>
  <si>
    <t>Gross_Margin</t>
  </si>
  <si>
    <t>Operating_Margin</t>
  </si>
  <si>
    <t>Net_Margin</t>
  </si>
  <si>
    <t>R&amp;D_Ratio</t>
  </si>
  <si>
    <t>SG&amp;A_Ratio</t>
  </si>
  <si>
    <t>Total_OpEx_Ratio</t>
  </si>
  <si>
    <t>Asset_Turnover</t>
  </si>
  <si>
    <t>Inventory_Turnover</t>
  </si>
  <si>
    <t>Debt_to_Assets</t>
  </si>
  <si>
    <t>Debt_to_Equity</t>
  </si>
  <si>
    <t>ROE</t>
  </si>
  <si>
    <t>ROA</t>
  </si>
  <si>
    <t>Revenue_Growth</t>
  </si>
  <si>
    <t>NetIncome_Growth</t>
  </si>
  <si>
    <t>Revenue_Millions</t>
  </si>
  <si>
    <t>Revenue_Billions</t>
  </si>
  <si>
    <t>YoY_Growth</t>
  </si>
  <si>
    <t>指标</t>
  </si>
  <si>
    <t>数值</t>
  </si>
  <si>
    <t>2024年实际收入（百万美元）</t>
  </si>
  <si>
    <t>$97,690</t>
  </si>
  <si>
    <t>2030年预测收入（百万美元）</t>
  </si>
  <si>
    <t>$263,411</t>
  </si>
  <si>
    <t>6年复合增长率（CAGR）</t>
  </si>
  <si>
    <t>18.0%</t>
  </si>
  <si>
    <t>2024年净利润率</t>
  </si>
  <si>
    <t>7.3%</t>
  </si>
  <si>
    <t>2030年预测净利润率</t>
  </si>
  <si>
    <t>8.8%</t>
  </si>
  <si>
    <t>2024年ROE</t>
  </si>
  <si>
    <t>9.8%</t>
  </si>
  <si>
    <t>2030年预测ROE</t>
  </si>
  <si>
    <t>25.9%</t>
  </si>
  <si>
    <t>2024年总资产（百万美元）</t>
  </si>
  <si>
    <t>$122,070</t>
  </si>
  <si>
    <t>2030年预测总资产（百万美元）</t>
  </si>
  <si>
    <t>$186,495</t>
  </si>
  <si>
    <t>2025E</t>
  </si>
  <si>
    <t>2026E</t>
  </si>
  <si>
    <t>2027E</t>
  </si>
  <si>
    <t>2028E</t>
  </si>
  <si>
    <t>2029E</t>
  </si>
  <si>
    <t>2030E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</si>
</sst>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10" fontId="0" fillId="0" borderId="0" xfId="2" applyNumberFormat="1" applyFont="1"/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tesla-optimus-business-analysis\data\processed\Tesla_Financial_Forecast_Normal.xlsx" TargetMode="External"/><Relationship Id="rId1" Type="http://schemas.openxmlformats.org/officeDocument/2006/relationships/externalLinkPath" Target="Tesla_Financial_Forecast_Norm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 Statement (normal)"/>
      <sheetName val="Balance Sheet (normal)"/>
      <sheetName val="Cash Flow (normal)"/>
      <sheetName val="Financial Ratios (normal)"/>
      <sheetName val="Growth Analysis (normal)"/>
      <sheetName val="Revenue Details (normal)"/>
      <sheetName val="Executive Summary (normal)"/>
    </sheetNames>
    <sheetDataSet>
      <sheetData sheetId="0"/>
      <sheetData sheetId="1">
        <row r="3">
          <cell r="I3">
            <v>106618</v>
          </cell>
          <cell r="O3">
            <v>43009</v>
          </cell>
          <cell r="P3">
            <v>62634</v>
          </cell>
        </row>
        <row r="4">
          <cell r="I4">
            <v>122070</v>
          </cell>
          <cell r="O4">
            <v>48390</v>
          </cell>
          <cell r="P4">
            <v>72913</v>
          </cell>
        </row>
        <row r="5">
          <cell r="I5">
            <v>123672.698724235</v>
          </cell>
          <cell r="O5">
            <v>43707.57114823236</v>
          </cell>
          <cell r="P5">
            <v>79965.127576002618</v>
          </cell>
        </row>
        <row r="6">
          <cell r="I6">
            <v>138890.92930579261</v>
          </cell>
          <cell r="O6">
            <v>49763.225855931247</v>
          </cell>
          <cell r="P6">
            <v>89127.703449861365</v>
          </cell>
        </row>
        <row r="7">
          <cell r="I7">
            <v>161339.72350137899</v>
          </cell>
          <cell r="O7">
            <v>58593.209951208613</v>
          </cell>
          <cell r="P7">
            <v>102746.51355017041</v>
          </cell>
        </row>
        <row r="8">
          <cell r="I8">
            <v>201808.0389112297</v>
          </cell>
          <cell r="O8">
            <v>74274.111813592302</v>
          </cell>
          <cell r="P8">
            <v>127533.9270976374</v>
          </cell>
        </row>
        <row r="9">
          <cell r="I9">
            <v>249556.4197252884</v>
          </cell>
          <cell r="O9">
            <v>93064.600448291574</v>
          </cell>
          <cell r="P9">
            <v>156491.8192769968</v>
          </cell>
        </row>
        <row r="10">
          <cell r="I10">
            <v>306006.77838501288</v>
          </cell>
          <cell r="O10">
            <v>115608.3780336807</v>
          </cell>
          <cell r="P10">
            <v>190398.40035133221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workbookViewId="0">
      <selection activeCell="D12" sqref="D12"/>
    </sheetView>
  </sheetViews>
  <sheetFormatPr defaultRowHeight="14.25" x14ac:dyDescent="0.45"/>
  <cols>
    <col min="2" max="2" width="12.46484375" bestFit="1" customWidth="1"/>
    <col min="3" max="3" width="9.59765625" bestFit="1" customWidth="1"/>
    <col min="4" max="5" width="9.1328125" bestFit="1" customWidth="1"/>
    <col min="6" max="7" width="9.59765625" bestFit="1" customWidth="1"/>
    <col min="8" max="8" width="10.59765625" bestFit="1" customWidth="1"/>
    <col min="9" max="11" width="9.59765625" bestFit="1" customWidth="1"/>
    <col min="12" max="12" width="9.1328125" bestFit="1" customWidth="1"/>
    <col min="13" max="14" width="9.59765625" bestFit="1" customWidth="1"/>
    <col min="15" max="17" width="9.1328125" bestFit="1" customWidth="1"/>
    <col min="18" max="18" width="9.59765625" bestFit="1" customWidth="1"/>
    <col min="19" max="19" width="9.19921875" bestFit="1" customWidth="1"/>
    <col min="20" max="20" width="9.59765625" bestFit="1" customWidth="1"/>
  </cols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5">
      <c r="A2" s="1">
        <v>2022</v>
      </c>
      <c r="B2" s="2">
        <v>81462</v>
      </c>
      <c r="C2" s="2">
        <v>67210</v>
      </c>
      <c r="D2" s="2">
        <v>1776</v>
      </c>
      <c r="E2" s="2">
        <v>2476</v>
      </c>
      <c r="F2" s="2">
        <v>3909</v>
      </c>
      <c r="G2" s="2">
        <v>6091</v>
      </c>
      <c r="H2" s="2">
        <v>60609</v>
      </c>
      <c r="I2" s="2">
        <v>20853</v>
      </c>
      <c r="J2" s="2">
        <v>3075</v>
      </c>
      <c r="K2" s="2">
        <v>3946</v>
      </c>
      <c r="L2" s="2">
        <v>176</v>
      </c>
      <c r="M2" s="2">
        <v>7197</v>
      </c>
      <c r="N2" s="2">
        <v>13656</v>
      </c>
      <c r="O2" s="2">
        <v>297</v>
      </c>
      <c r="P2" s="2">
        <v>-191</v>
      </c>
      <c r="Q2" s="2">
        <v>-43</v>
      </c>
      <c r="R2" s="2">
        <v>13719</v>
      </c>
      <c r="S2" s="2">
        <v>1132</v>
      </c>
      <c r="T2" s="2">
        <v>12587</v>
      </c>
    </row>
    <row r="3" spans="1:20" x14ac:dyDescent="0.45">
      <c r="A3" s="1">
        <v>2023</v>
      </c>
      <c r="B3" s="2">
        <v>96773</v>
      </c>
      <c r="C3" s="2">
        <v>78509</v>
      </c>
      <c r="D3" s="2">
        <v>1790</v>
      </c>
      <c r="E3" s="2">
        <v>2120</v>
      </c>
      <c r="F3" s="2">
        <v>6035</v>
      </c>
      <c r="G3" s="2">
        <v>8319</v>
      </c>
      <c r="H3" s="2">
        <v>79113</v>
      </c>
      <c r="I3" s="2">
        <v>17660</v>
      </c>
      <c r="J3" s="2">
        <v>3969</v>
      </c>
      <c r="K3" s="2">
        <v>4800</v>
      </c>
      <c r="L3" s="2">
        <v>0</v>
      </c>
      <c r="M3" s="2">
        <v>8769</v>
      </c>
      <c r="N3" s="2">
        <v>8891</v>
      </c>
      <c r="O3" s="2">
        <v>1066</v>
      </c>
      <c r="P3" s="2">
        <v>-156</v>
      </c>
      <c r="Q3" s="2">
        <v>172</v>
      </c>
      <c r="R3" s="2">
        <v>9973</v>
      </c>
      <c r="S3" s="2">
        <v>-5001</v>
      </c>
      <c r="T3" s="2">
        <v>14974</v>
      </c>
    </row>
    <row r="4" spans="1:20" x14ac:dyDescent="0.45">
      <c r="A4" s="1">
        <v>2024</v>
      </c>
      <c r="B4" s="2">
        <v>97690</v>
      </c>
      <c r="C4" s="2">
        <v>72480</v>
      </c>
      <c r="D4" s="2">
        <v>2763</v>
      </c>
      <c r="E4" s="2">
        <v>1827</v>
      </c>
      <c r="F4" s="2">
        <v>10086</v>
      </c>
      <c r="G4" s="2">
        <v>10534</v>
      </c>
      <c r="H4" s="2">
        <v>80240</v>
      </c>
      <c r="I4" s="2">
        <v>17450</v>
      </c>
      <c r="J4" s="2">
        <v>4540</v>
      </c>
      <c r="K4" s="2">
        <v>5150</v>
      </c>
      <c r="L4" s="2">
        <v>684</v>
      </c>
      <c r="M4" s="2">
        <v>10374</v>
      </c>
      <c r="N4" s="2">
        <v>7076</v>
      </c>
      <c r="O4" s="2">
        <v>1569</v>
      </c>
      <c r="P4" s="2">
        <v>-350</v>
      </c>
      <c r="Q4" s="2">
        <v>695</v>
      </c>
      <c r="R4" s="2">
        <v>8990</v>
      </c>
      <c r="S4" s="2">
        <v>1837</v>
      </c>
      <c r="T4" s="2">
        <v>7153</v>
      </c>
    </row>
    <row r="5" spans="1:20" x14ac:dyDescent="0.45">
      <c r="A5" s="1" t="s">
        <v>78</v>
      </c>
      <c r="B5" s="2">
        <v>96952.5</v>
      </c>
      <c r="C5" s="2">
        <v>72001.8</v>
      </c>
      <c r="F5" s="2">
        <v>12980.699999999999</v>
      </c>
      <c r="G5" s="2">
        <v>11970</v>
      </c>
      <c r="H5" s="2">
        <v>81430.960000000006</v>
      </c>
      <c r="I5" s="2">
        <v>15521.54</v>
      </c>
      <c r="J5" s="2">
        <v>4386.3</v>
      </c>
      <c r="K5" s="2">
        <v>5103.8500000000004</v>
      </c>
      <c r="L5" s="2">
        <v>0</v>
      </c>
      <c r="M5" s="2">
        <v>9490.15</v>
      </c>
      <c r="N5" s="2">
        <v>6031.39</v>
      </c>
      <c r="O5" s="2">
        <v>1134.3399999999999</v>
      </c>
      <c r="P5" s="2">
        <v>377.04</v>
      </c>
      <c r="Q5" s="2">
        <v>436.29</v>
      </c>
      <c r="R5" s="2">
        <v>7979.06</v>
      </c>
      <c r="S5" s="2">
        <v>1675.6</v>
      </c>
      <c r="T5" s="2">
        <v>6303.46</v>
      </c>
    </row>
    <row r="6" spans="1:20" x14ac:dyDescent="0.45">
      <c r="A6" s="1" t="s">
        <v>79</v>
      </c>
      <c r="B6" s="2">
        <v>111017.7</v>
      </c>
      <c r="C6" s="2">
        <v>77492.7</v>
      </c>
      <c r="F6" s="2">
        <v>18172.8</v>
      </c>
      <c r="G6" s="2">
        <v>15082.2</v>
      </c>
      <c r="H6" s="2">
        <v>92787</v>
      </c>
      <c r="I6" s="2">
        <v>18230.7</v>
      </c>
      <c r="J6" s="2">
        <v>4946.1499999999996</v>
      </c>
      <c r="K6" s="2">
        <v>5725.01</v>
      </c>
      <c r="L6" s="2">
        <v>0</v>
      </c>
      <c r="M6" s="2">
        <v>10671.16</v>
      </c>
      <c r="N6" s="2">
        <v>7559.54</v>
      </c>
      <c r="O6" s="2">
        <v>1298.9100000000001</v>
      </c>
      <c r="P6" s="2">
        <v>431.74</v>
      </c>
      <c r="Q6" s="2">
        <v>499.58</v>
      </c>
      <c r="R6" s="2">
        <v>9789.76</v>
      </c>
      <c r="S6" s="2">
        <v>2055.85</v>
      </c>
      <c r="T6" s="2">
        <v>7733.91</v>
      </c>
    </row>
    <row r="7" spans="1:20" x14ac:dyDescent="0.45">
      <c r="A7" s="1" t="s">
        <v>80</v>
      </c>
      <c r="B7" s="2">
        <v>131441.4</v>
      </c>
      <c r="C7" s="2">
        <v>84745.8</v>
      </c>
      <c r="F7" s="2">
        <v>25442.1</v>
      </c>
      <c r="G7" s="2">
        <v>19003.5</v>
      </c>
      <c r="H7" s="2">
        <v>109315.3</v>
      </c>
      <c r="I7" s="2">
        <v>22126.1</v>
      </c>
      <c r="J7" s="2">
        <v>5765.52</v>
      </c>
      <c r="K7" s="2">
        <v>6637.02</v>
      </c>
      <c r="L7" s="2">
        <v>0</v>
      </c>
      <c r="M7" s="2">
        <v>12402.54</v>
      </c>
      <c r="N7" s="2">
        <v>9723.56</v>
      </c>
      <c r="O7" s="2">
        <v>1537.86</v>
      </c>
      <c r="P7" s="2">
        <v>511.16</v>
      </c>
      <c r="Q7" s="2">
        <v>591.49</v>
      </c>
      <c r="R7" s="2">
        <v>12364.07</v>
      </c>
      <c r="S7" s="2">
        <v>2596.4499999999998</v>
      </c>
      <c r="T7" s="2">
        <v>9767.6200000000008</v>
      </c>
    </row>
    <row r="8" spans="1:20" x14ac:dyDescent="0.45">
      <c r="A8" s="1" t="s">
        <v>81</v>
      </c>
      <c r="B8" s="2">
        <v>167512.5</v>
      </c>
      <c r="C8" s="2">
        <v>92648.700000000012</v>
      </c>
      <c r="F8" s="2">
        <v>35619.299999999996</v>
      </c>
      <c r="G8" s="2">
        <v>23944.5</v>
      </c>
      <c r="H8" s="2">
        <v>138624.25</v>
      </c>
      <c r="I8" s="2">
        <v>28888.25</v>
      </c>
      <c r="J8" s="2">
        <v>7232.33</v>
      </c>
      <c r="K8" s="2">
        <v>8278.43</v>
      </c>
      <c r="L8" s="2">
        <v>0</v>
      </c>
      <c r="M8" s="2">
        <v>15510.76</v>
      </c>
      <c r="N8" s="2">
        <v>13377.49</v>
      </c>
      <c r="O8" s="2">
        <v>1959.9</v>
      </c>
      <c r="P8" s="2">
        <v>651.44000000000005</v>
      </c>
      <c r="Q8" s="2">
        <v>753.81</v>
      </c>
      <c r="R8" s="2">
        <v>16742.63</v>
      </c>
      <c r="S8" s="2">
        <v>3515.95</v>
      </c>
      <c r="T8" s="2">
        <v>13226.68</v>
      </c>
    </row>
    <row r="9" spans="1:20" x14ac:dyDescent="0.45">
      <c r="A9" s="1" t="s">
        <v>82</v>
      </c>
      <c r="B9" s="2">
        <v>210982.5</v>
      </c>
      <c r="C9" s="2">
        <v>101245.5</v>
      </c>
      <c r="F9" s="2">
        <v>49867.200000000004</v>
      </c>
      <c r="G9" s="2">
        <v>30169.8</v>
      </c>
      <c r="H9" s="2">
        <v>173728.41</v>
      </c>
      <c r="I9" s="2">
        <v>37254.089999999997</v>
      </c>
      <c r="J9" s="2">
        <v>8963.7800000000007</v>
      </c>
      <c r="K9" s="2">
        <v>10200.040000000001</v>
      </c>
      <c r="L9" s="2">
        <v>0</v>
      </c>
      <c r="M9" s="2">
        <v>19163.82</v>
      </c>
      <c r="N9" s="2">
        <v>18090.27</v>
      </c>
      <c r="O9" s="2">
        <v>2468.5</v>
      </c>
      <c r="P9" s="2">
        <v>820.49</v>
      </c>
      <c r="Q9" s="2">
        <v>949.42</v>
      </c>
      <c r="R9" s="2">
        <v>22328.67</v>
      </c>
      <c r="S9" s="2">
        <v>4689.0200000000004</v>
      </c>
      <c r="T9" s="2">
        <v>17639.650000000001</v>
      </c>
    </row>
    <row r="10" spans="1:20" x14ac:dyDescent="0.45">
      <c r="A10" s="1" t="s">
        <v>83</v>
      </c>
      <c r="B10" s="2">
        <v>263411.09999999998</v>
      </c>
      <c r="C10" s="2">
        <v>110583</v>
      </c>
      <c r="F10" s="2">
        <v>69813.899999999994</v>
      </c>
      <c r="G10" s="2">
        <v>38014.199999999997</v>
      </c>
      <c r="H10" s="2">
        <v>215814.21</v>
      </c>
      <c r="I10" s="2">
        <v>47596.89</v>
      </c>
      <c r="J10" s="2">
        <v>11009.78</v>
      </c>
      <c r="K10" s="2">
        <v>12451.73</v>
      </c>
      <c r="L10" s="2">
        <v>0</v>
      </c>
      <c r="M10" s="2">
        <v>23461.51</v>
      </c>
      <c r="N10" s="2">
        <v>24135.38</v>
      </c>
      <c r="O10" s="2">
        <v>3081.91</v>
      </c>
      <c r="P10" s="2">
        <v>1024.3800000000001</v>
      </c>
      <c r="Q10" s="2">
        <v>1185.3499999999999</v>
      </c>
      <c r="R10" s="2">
        <v>29427.02</v>
      </c>
      <c r="S10" s="2">
        <v>6179.67</v>
      </c>
      <c r="T10" s="2">
        <v>23247.34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workbookViewId="0">
      <selection activeCell="B2" sqref="B2:Q2"/>
    </sheetView>
  </sheetViews>
  <sheetFormatPr defaultRowHeight="14.25" x14ac:dyDescent="0.45"/>
  <cols>
    <col min="2" max="5" width="9.59765625" bestFit="1" customWidth="1"/>
    <col min="6" max="6" width="9.1328125" bestFit="1" customWidth="1"/>
    <col min="7" max="8" width="9.59765625" bestFit="1" customWidth="1"/>
    <col min="9" max="9" width="10.59765625" bestFit="1" customWidth="1"/>
    <col min="10" max="11" width="9.59765625" bestFit="1" customWidth="1"/>
    <col min="12" max="13" width="9.1328125" bestFit="1" customWidth="1"/>
    <col min="14" max="17" width="9.59765625" bestFit="1" customWidth="1"/>
  </cols>
  <sheetData>
    <row r="1" spans="1:17" x14ac:dyDescent="0.4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</row>
    <row r="2" spans="1:17" x14ac:dyDescent="0.45">
      <c r="A2" s="1">
        <v>2022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45">
      <c r="A3" s="1">
        <v>2023</v>
      </c>
      <c r="B3" s="2">
        <v>16398</v>
      </c>
      <c r="C3" s="2">
        <v>12696</v>
      </c>
      <c r="D3" s="2">
        <v>3508</v>
      </c>
      <c r="E3" s="2">
        <v>13626</v>
      </c>
      <c r="F3" s="2">
        <v>3388</v>
      </c>
      <c r="G3" s="2">
        <v>49616</v>
      </c>
      <c r="H3" s="2">
        <v>29725</v>
      </c>
      <c r="I3" s="2">
        <v>106618</v>
      </c>
      <c r="J3" s="2">
        <v>14431</v>
      </c>
      <c r="K3" s="2">
        <v>9080</v>
      </c>
      <c r="L3" s="2">
        <v>2864</v>
      </c>
      <c r="M3" s="2">
        <v>2373</v>
      </c>
      <c r="N3" s="2">
        <v>2857</v>
      </c>
      <c r="O3" s="2">
        <v>43009</v>
      </c>
      <c r="P3" s="2">
        <v>62634</v>
      </c>
      <c r="Q3" s="2">
        <v>27882</v>
      </c>
    </row>
    <row r="4" spans="1:17" x14ac:dyDescent="0.45">
      <c r="A4" s="1">
        <v>2024</v>
      </c>
      <c r="B4" s="2">
        <v>16139</v>
      </c>
      <c r="C4" s="2">
        <v>20424</v>
      </c>
      <c r="D4" s="2">
        <v>4418</v>
      </c>
      <c r="E4" s="2">
        <v>12017</v>
      </c>
      <c r="F4" s="2">
        <v>5362</v>
      </c>
      <c r="G4" s="2">
        <v>58360</v>
      </c>
      <c r="H4" s="2">
        <v>35836</v>
      </c>
      <c r="I4" s="2">
        <v>122070</v>
      </c>
      <c r="J4" s="2">
        <v>12474</v>
      </c>
      <c r="K4" s="2">
        <v>10723</v>
      </c>
      <c r="L4" s="2">
        <v>3168</v>
      </c>
      <c r="M4" s="2">
        <v>2456</v>
      </c>
      <c r="N4" s="2">
        <v>5757</v>
      </c>
      <c r="O4" s="2">
        <v>48390</v>
      </c>
      <c r="P4" s="2">
        <v>72913</v>
      </c>
      <c r="Q4" s="2">
        <v>35209</v>
      </c>
    </row>
    <row r="5" spans="1:17" x14ac:dyDescent="0.45">
      <c r="A5" s="1" t="s">
        <v>78</v>
      </c>
      <c r="B5" s="2">
        <v>10470.870000000001</v>
      </c>
      <c r="C5" s="2"/>
      <c r="D5" s="2">
        <v>11634.3</v>
      </c>
      <c r="E5" s="2">
        <v>13573.35</v>
      </c>
      <c r="F5" s="2"/>
      <c r="G5" s="2">
        <v>35678.519999999997</v>
      </c>
      <c r="H5" s="2">
        <v>32963.85</v>
      </c>
      <c r="I5" s="2">
        <v>68642.37</v>
      </c>
      <c r="J5" s="2">
        <v>13573.35</v>
      </c>
      <c r="K5" s="2">
        <v>11634.3</v>
      </c>
      <c r="L5" s="2">
        <v>3393.34</v>
      </c>
      <c r="M5" s="2">
        <v>2132.9499999999998</v>
      </c>
      <c r="N5" s="2">
        <v>4847.62</v>
      </c>
      <c r="O5" s="2">
        <v>35581.57</v>
      </c>
      <c r="P5" s="2">
        <v>33060.800000000003</v>
      </c>
      <c r="Q5" s="2">
        <v>16530.400000000001</v>
      </c>
    </row>
    <row r="6" spans="1:17" x14ac:dyDescent="0.45">
      <c r="A6" s="1" t="s">
        <v>79</v>
      </c>
      <c r="B6" s="2">
        <v>11989.91</v>
      </c>
      <c r="C6" s="2"/>
      <c r="D6" s="2">
        <v>13322.12</v>
      </c>
      <c r="E6" s="2">
        <v>15542.48</v>
      </c>
      <c r="F6" s="2"/>
      <c r="G6" s="2">
        <v>40854.51</v>
      </c>
      <c r="H6" s="2">
        <v>37746.019999999997</v>
      </c>
      <c r="I6" s="2">
        <v>78600.53</v>
      </c>
      <c r="J6" s="2">
        <v>15542.48</v>
      </c>
      <c r="K6" s="2">
        <v>13322.12</v>
      </c>
      <c r="L6" s="2">
        <v>3885.62</v>
      </c>
      <c r="M6" s="2">
        <v>2442.39</v>
      </c>
      <c r="N6" s="2">
        <v>5550.89</v>
      </c>
      <c r="O6" s="2">
        <v>40743.5</v>
      </c>
      <c r="P6" s="2">
        <v>37857.040000000001</v>
      </c>
      <c r="Q6" s="2">
        <v>18928.52</v>
      </c>
    </row>
    <row r="7" spans="1:17" x14ac:dyDescent="0.45">
      <c r="A7" s="1" t="s">
        <v>80</v>
      </c>
      <c r="B7" s="2">
        <v>14195.67</v>
      </c>
      <c r="C7" s="2"/>
      <c r="D7" s="2">
        <v>15772.97</v>
      </c>
      <c r="E7" s="2">
        <v>18401.8</v>
      </c>
      <c r="F7" s="2"/>
      <c r="G7" s="2">
        <v>48370.44</v>
      </c>
      <c r="H7" s="2">
        <v>44690.080000000002</v>
      </c>
      <c r="I7" s="2">
        <v>93060.51</v>
      </c>
      <c r="J7" s="2">
        <v>18401.8</v>
      </c>
      <c r="K7" s="2">
        <v>15772.97</v>
      </c>
      <c r="L7" s="2">
        <v>4600.45</v>
      </c>
      <c r="M7" s="2">
        <v>2891.71</v>
      </c>
      <c r="N7" s="2">
        <v>6572.07</v>
      </c>
      <c r="O7" s="2">
        <v>48238.99</v>
      </c>
      <c r="P7" s="2">
        <v>44821.52</v>
      </c>
      <c r="Q7" s="2">
        <v>22410.76</v>
      </c>
    </row>
    <row r="8" spans="1:17" x14ac:dyDescent="0.45">
      <c r="A8" s="1" t="s">
        <v>81</v>
      </c>
      <c r="B8" s="2">
        <v>18091.349999999999</v>
      </c>
      <c r="C8" s="2"/>
      <c r="D8" s="2">
        <v>20101.5</v>
      </c>
      <c r="E8" s="2">
        <v>23451.75</v>
      </c>
      <c r="F8" s="2"/>
      <c r="G8" s="2">
        <v>61644.6</v>
      </c>
      <c r="H8" s="2">
        <v>56954.25</v>
      </c>
      <c r="I8" s="2">
        <v>118598.85</v>
      </c>
      <c r="J8" s="2">
        <v>23451.75</v>
      </c>
      <c r="K8" s="2">
        <v>20101.5</v>
      </c>
      <c r="L8" s="2">
        <v>5862.94</v>
      </c>
      <c r="M8" s="2">
        <v>3685.27</v>
      </c>
      <c r="N8" s="2">
        <v>8375.6200000000008</v>
      </c>
      <c r="O8" s="2">
        <v>61477.09</v>
      </c>
      <c r="P8" s="2">
        <v>57121.760000000002</v>
      </c>
      <c r="Q8" s="2">
        <v>28560.880000000001</v>
      </c>
    </row>
    <row r="9" spans="1:17" x14ac:dyDescent="0.45">
      <c r="A9" s="1" t="s">
        <v>82</v>
      </c>
      <c r="B9" s="2">
        <v>22786.11</v>
      </c>
      <c r="C9" s="2"/>
      <c r="D9" s="2">
        <v>25317.9</v>
      </c>
      <c r="E9" s="2">
        <v>29537.55</v>
      </c>
      <c r="F9" s="2"/>
      <c r="G9" s="2">
        <v>77641.56</v>
      </c>
      <c r="H9" s="2">
        <v>71734.05</v>
      </c>
      <c r="I9" s="2">
        <v>149375.60999999999</v>
      </c>
      <c r="J9" s="2">
        <v>29537.55</v>
      </c>
      <c r="K9" s="2">
        <v>25317.9</v>
      </c>
      <c r="L9" s="2">
        <v>7384.39</v>
      </c>
      <c r="M9" s="2">
        <v>4641.6099999999997</v>
      </c>
      <c r="N9" s="2">
        <v>10549.12</v>
      </c>
      <c r="O9" s="2">
        <v>77430.58</v>
      </c>
      <c r="P9" s="2">
        <v>71945.03</v>
      </c>
      <c r="Q9" s="2">
        <v>35972.519999999997</v>
      </c>
    </row>
    <row r="10" spans="1:17" x14ac:dyDescent="0.45">
      <c r="A10" s="1" t="s">
        <v>83</v>
      </c>
      <c r="B10" s="2">
        <v>28448.400000000001</v>
      </c>
      <c r="C10" s="2"/>
      <c r="D10" s="2">
        <v>31609.33</v>
      </c>
      <c r="E10" s="2">
        <v>36877.550000000003</v>
      </c>
      <c r="F10" s="2"/>
      <c r="G10" s="2">
        <v>96935.28</v>
      </c>
      <c r="H10" s="2">
        <v>89559.77</v>
      </c>
      <c r="I10" s="2">
        <v>186495.06</v>
      </c>
      <c r="J10" s="2">
        <v>36877.550000000003</v>
      </c>
      <c r="K10" s="2">
        <v>31609.33</v>
      </c>
      <c r="L10" s="2">
        <v>9219.39</v>
      </c>
      <c r="M10" s="2">
        <v>5795.04</v>
      </c>
      <c r="N10" s="2">
        <v>13170.56</v>
      </c>
      <c r="O10" s="2">
        <v>96671.87</v>
      </c>
      <c r="P10" s="2">
        <v>89823.19</v>
      </c>
      <c r="Q10" s="2">
        <v>44911.59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sqref="A1:A10"/>
    </sheetView>
  </sheetViews>
  <sheetFormatPr defaultRowHeight="14.25" x14ac:dyDescent="0.45"/>
  <cols>
    <col min="2" max="4" width="9.59765625" bestFit="1" customWidth="1"/>
    <col min="5" max="5" width="10.19921875" bestFit="1" customWidth="1"/>
    <col min="6" max="6" width="9.19921875" bestFit="1" customWidth="1"/>
    <col min="7" max="7" width="9.59765625" bestFit="1" customWidth="1"/>
  </cols>
  <sheetData>
    <row r="1" spans="1:7" x14ac:dyDescent="0.45">
      <c r="A1" s="1" t="s">
        <v>0</v>
      </c>
      <c r="B1" s="1" t="s">
        <v>19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45">
      <c r="A2" s="1">
        <v>2022</v>
      </c>
      <c r="B2" s="2">
        <v>12587</v>
      </c>
      <c r="C2" s="2">
        <v>3747</v>
      </c>
      <c r="D2" s="2">
        <v>14724</v>
      </c>
      <c r="E2" s="2">
        <v>-11973</v>
      </c>
      <c r="F2" s="2">
        <v>-3527</v>
      </c>
      <c r="G2" s="2">
        <v>-1220</v>
      </c>
    </row>
    <row r="3" spans="1:7" x14ac:dyDescent="0.45">
      <c r="A3" s="1">
        <v>2023</v>
      </c>
      <c r="B3" s="2">
        <v>14974</v>
      </c>
      <c r="C3" s="2">
        <v>4667</v>
      </c>
      <c r="D3" s="2">
        <v>13256</v>
      </c>
      <c r="E3" s="2">
        <v>-15584</v>
      </c>
      <c r="F3" s="2">
        <v>2589</v>
      </c>
      <c r="G3" s="2">
        <v>265</v>
      </c>
    </row>
    <row r="4" spans="1:7" x14ac:dyDescent="0.45">
      <c r="A4" s="1">
        <v>2024</v>
      </c>
      <c r="B4" s="2">
        <v>7153</v>
      </c>
      <c r="C4" s="2">
        <v>5368</v>
      </c>
      <c r="D4" s="2">
        <v>14923</v>
      </c>
      <c r="E4" s="2">
        <v>-18787</v>
      </c>
      <c r="F4" s="2">
        <v>3853</v>
      </c>
      <c r="G4" s="2">
        <v>-152</v>
      </c>
    </row>
    <row r="5" spans="1:7" x14ac:dyDescent="0.45">
      <c r="A5" s="1" t="s">
        <v>78</v>
      </c>
      <c r="B5" s="2">
        <v>6303.46</v>
      </c>
      <c r="C5" s="2">
        <v>6263.13</v>
      </c>
      <c r="D5" s="2">
        <v>12566.59</v>
      </c>
      <c r="E5" s="2">
        <v>-8796.61</v>
      </c>
      <c r="F5" s="2">
        <v>2513.3200000000002</v>
      </c>
      <c r="G5" s="2">
        <v>6283.3</v>
      </c>
    </row>
    <row r="6" spans="1:7" x14ac:dyDescent="0.45">
      <c r="A6" s="1" t="s">
        <v>79</v>
      </c>
      <c r="B6" s="2">
        <v>7733.91</v>
      </c>
      <c r="C6" s="2">
        <v>7171.74</v>
      </c>
      <c r="D6" s="2">
        <v>14905.65</v>
      </c>
      <c r="E6" s="2">
        <v>-10433.959999999999</v>
      </c>
      <c r="F6" s="2">
        <v>2981.13</v>
      </c>
      <c r="G6" s="2">
        <v>7452.83</v>
      </c>
    </row>
    <row r="7" spans="1:7" x14ac:dyDescent="0.45">
      <c r="A7" s="1" t="s">
        <v>80</v>
      </c>
      <c r="B7" s="2">
        <v>9767.6200000000008</v>
      </c>
      <c r="C7" s="2">
        <v>8491.1200000000008</v>
      </c>
      <c r="D7" s="2">
        <v>18258.740000000002</v>
      </c>
      <c r="E7" s="2">
        <v>-12781.11</v>
      </c>
      <c r="F7" s="2">
        <v>3651.75</v>
      </c>
      <c r="G7" s="2">
        <v>9129.3700000000008</v>
      </c>
    </row>
    <row r="8" spans="1:7" x14ac:dyDescent="0.45">
      <c r="A8" s="1" t="s">
        <v>81</v>
      </c>
      <c r="B8" s="2">
        <v>13226.68</v>
      </c>
      <c r="C8" s="2">
        <v>10821.31</v>
      </c>
      <c r="D8" s="2">
        <v>24047.99</v>
      </c>
      <c r="E8" s="2">
        <v>-16833.59</v>
      </c>
      <c r="F8" s="2">
        <v>4809.6000000000004</v>
      </c>
      <c r="G8" s="2">
        <v>12023.99</v>
      </c>
    </row>
    <row r="9" spans="1:7" x14ac:dyDescent="0.45">
      <c r="A9" s="1" t="s">
        <v>82</v>
      </c>
      <c r="B9" s="2">
        <v>17639.650000000001</v>
      </c>
      <c r="C9" s="2">
        <v>13629.47</v>
      </c>
      <c r="D9" s="2">
        <v>31269.119999999999</v>
      </c>
      <c r="E9" s="2">
        <v>-21888.38</v>
      </c>
      <c r="F9" s="2">
        <v>6253.82</v>
      </c>
      <c r="G9" s="2">
        <v>15634.56</v>
      </c>
    </row>
    <row r="10" spans="1:7" x14ac:dyDescent="0.45">
      <c r="A10" s="1" t="s">
        <v>83</v>
      </c>
      <c r="B10" s="2">
        <v>23247.34</v>
      </c>
      <c r="C10" s="2">
        <v>17016.36</v>
      </c>
      <c r="D10" s="2">
        <v>40263.699999999997</v>
      </c>
      <c r="E10" s="2">
        <v>-28184.59</v>
      </c>
      <c r="F10" s="2">
        <v>8052.74</v>
      </c>
      <c r="G10" s="2">
        <v>20131.849999999999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tabSelected="1" workbookViewId="0">
      <selection activeCell="F6" sqref="F6"/>
    </sheetView>
  </sheetViews>
  <sheetFormatPr defaultRowHeight="14.25" x14ac:dyDescent="0.45"/>
  <sheetData>
    <row r="1" spans="1:13" x14ac:dyDescent="0.4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 x14ac:dyDescent="0.45">
      <c r="A2" s="1">
        <v>2022</v>
      </c>
      <c r="B2" s="3">
        <v>0.25598438535758999</v>
      </c>
      <c r="C2" s="3">
        <v>0.16763644398615299</v>
      </c>
      <c r="D2" s="3">
        <v>0.15451376101740691</v>
      </c>
      <c r="E2" s="3">
        <v>3.7747661486337188E-2</v>
      </c>
      <c r="F2" s="3">
        <v>4.8439763325231387E-2</v>
      </c>
      <c r="G2" s="3">
        <v>8.8347941371436992E-2</v>
      </c>
      <c r="H2" s="3"/>
      <c r="I2" s="2"/>
      <c r="J2" s="3"/>
      <c r="K2" s="3"/>
      <c r="L2" s="3"/>
      <c r="M2" s="3"/>
    </row>
    <row r="3" spans="1:13" x14ac:dyDescent="0.45">
      <c r="A3" s="1">
        <v>2023</v>
      </c>
      <c r="B3" s="3">
        <v>0.18248891736331421</v>
      </c>
      <c r="C3" s="3">
        <v>9.1874799789197395E-2</v>
      </c>
      <c r="D3" s="3">
        <v>0.1547332417099811</v>
      </c>
      <c r="E3" s="3">
        <v>4.1013505833238609E-2</v>
      </c>
      <c r="F3" s="3">
        <v>4.9600611740878139E-2</v>
      </c>
      <c r="G3" s="3">
        <v>9.0614117574116748E-2</v>
      </c>
      <c r="H3" s="2">
        <v>0.90766099532911892</v>
      </c>
      <c r="I3" s="2">
        <v>5.806032584764421</v>
      </c>
      <c r="J3" s="3">
        <f>'[1]Balance Sheet (normal)'!O3/'[1]Balance Sheet (normal)'!I3</f>
        <v>0.40339342324935751</v>
      </c>
      <c r="K3" s="3">
        <f>'[1]Balance Sheet (normal)'!O3/'[1]Balance Sheet (normal)'!P3</f>
        <v>0.68667177571287163</v>
      </c>
      <c r="L3" s="3">
        <v>0.2390714308522528</v>
      </c>
      <c r="M3" s="3">
        <v>0.1404453281809826</v>
      </c>
    </row>
    <row r="4" spans="1:13" x14ac:dyDescent="0.45">
      <c r="A4" s="1">
        <v>2024</v>
      </c>
      <c r="B4" s="3">
        <v>0.178626266762207</v>
      </c>
      <c r="C4" s="3">
        <v>7.2433207083631893E-2</v>
      </c>
      <c r="D4" s="3">
        <v>7.322141467908691E-2</v>
      </c>
      <c r="E4" s="3">
        <v>4.6473538745009722E-2</v>
      </c>
      <c r="F4" s="3">
        <v>5.2717780734977987E-2</v>
      </c>
      <c r="G4" s="3">
        <v>0.10619305967857511</v>
      </c>
      <c r="H4" s="2">
        <v>0.80027852871303351</v>
      </c>
      <c r="I4" s="2">
        <v>6.6772072896729631</v>
      </c>
      <c r="J4" s="3">
        <f>'[1]Balance Sheet (normal)'!O4/'[1]Balance Sheet (normal)'!I4</f>
        <v>0.39641189481445072</v>
      </c>
      <c r="K4" s="3">
        <f>'[1]Balance Sheet (normal)'!O4/'[1]Balance Sheet (normal)'!P4</f>
        <v>0.66366765871655264</v>
      </c>
      <c r="L4" s="3">
        <v>9.8103218904722067E-2</v>
      </c>
      <c r="M4" s="3">
        <v>5.8597526009666577E-2</v>
      </c>
    </row>
    <row r="5" spans="1:13" x14ac:dyDescent="0.45">
      <c r="A5" s="1" t="s">
        <v>78</v>
      </c>
      <c r="B5" s="3">
        <v>0.16009399999999999</v>
      </c>
      <c r="C5" s="3">
        <v>6.2210000000000001E-2</v>
      </c>
      <c r="D5" s="3">
        <v>6.5016000000000004E-2</v>
      </c>
      <c r="E5" s="3">
        <v>4.5241999999999997E-2</v>
      </c>
      <c r="F5" s="3">
        <v>5.2643000000000002E-2</v>
      </c>
      <c r="G5" s="3">
        <v>9.7885E-2</v>
      </c>
      <c r="H5" s="2">
        <v>1.4124289999999999</v>
      </c>
      <c r="I5" s="2">
        <v>7.1428570000000002</v>
      </c>
      <c r="J5" s="3">
        <f>'[1]Balance Sheet (normal)'!O5/'[1]Balance Sheet (normal)'!I5</f>
        <v>0.35341325611153168</v>
      </c>
      <c r="K5" s="3">
        <f>'[1]Balance Sheet (normal)'!O5/'[1]Balance Sheet (normal)'!P5</f>
        <v>0.54658289773489865</v>
      </c>
      <c r="L5" s="3">
        <v>0.190663</v>
      </c>
      <c r="M5" s="3">
        <v>9.1829999999999995E-2</v>
      </c>
    </row>
    <row r="6" spans="1:13" x14ac:dyDescent="0.45">
      <c r="A6" s="1" t="s">
        <v>79</v>
      </c>
      <c r="B6" s="3">
        <v>0.164214</v>
      </c>
      <c r="C6" s="3">
        <v>6.8093000000000001E-2</v>
      </c>
      <c r="D6" s="3">
        <v>6.9664000000000004E-2</v>
      </c>
      <c r="E6" s="3">
        <v>4.4553000000000002E-2</v>
      </c>
      <c r="F6" s="3">
        <v>5.1568000000000003E-2</v>
      </c>
      <c r="G6" s="3">
        <v>9.6120999999999998E-2</v>
      </c>
      <c r="H6" s="2">
        <v>1.4124289999999999</v>
      </c>
      <c r="I6" s="2">
        <v>7.1428560000000001</v>
      </c>
      <c r="J6" s="3">
        <f>'[1]Balance Sheet (normal)'!O6/'[1]Balance Sheet (normal)'!I6</f>
        <v>0.35828996252425399</v>
      </c>
      <c r="K6" s="3">
        <f>'[1]Balance Sheet (normal)'!O6/'[1]Balance Sheet (normal)'!P6</f>
        <v>0.55833622913806435</v>
      </c>
      <c r="L6" s="3">
        <v>0.204293</v>
      </c>
      <c r="M6" s="3">
        <v>9.8394999999999996E-2</v>
      </c>
    </row>
    <row r="7" spans="1:13" x14ac:dyDescent="0.45">
      <c r="A7" s="1" t="s">
        <v>80</v>
      </c>
      <c r="B7" s="3">
        <v>0.16833400000000001</v>
      </c>
      <c r="C7" s="3">
        <v>7.3976E-2</v>
      </c>
      <c r="D7" s="3">
        <v>7.4312000000000003E-2</v>
      </c>
      <c r="E7" s="3">
        <v>4.3864E-2</v>
      </c>
      <c r="F7" s="3">
        <v>5.0493999999999997E-2</v>
      </c>
      <c r="G7" s="3">
        <v>9.4357999999999997E-2</v>
      </c>
      <c r="H7" s="2">
        <v>1.4124289999999999</v>
      </c>
      <c r="I7" s="2">
        <v>7.1428560000000001</v>
      </c>
      <c r="J7" s="3">
        <f>'[1]Balance Sheet (normal)'!O7/'[1]Balance Sheet (normal)'!I7</f>
        <v>0.36316666893697641</v>
      </c>
      <c r="K7" s="3">
        <f>'[1]Balance Sheet (normal)'!O7/'[1]Balance Sheet (normal)'!P7</f>
        <v>0.57026956853964639</v>
      </c>
      <c r="L7" s="3">
        <v>0.21792300000000001</v>
      </c>
      <c r="M7" s="3">
        <v>0.10496</v>
      </c>
    </row>
    <row r="8" spans="1:13" x14ac:dyDescent="0.45">
      <c r="A8" s="1" t="s">
        <v>81</v>
      </c>
      <c r="B8" s="3">
        <v>0.172454</v>
      </c>
      <c r="C8" s="3">
        <v>7.986E-2</v>
      </c>
      <c r="D8" s="3">
        <v>7.8959000000000001E-2</v>
      </c>
      <c r="E8" s="3">
        <v>4.3174999999999998E-2</v>
      </c>
      <c r="F8" s="3">
        <v>4.9419999999999999E-2</v>
      </c>
      <c r="G8" s="3">
        <v>9.2594999999999997E-2</v>
      </c>
      <c r="H8" s="2">
        <v>1.4124289999999999</v>
      </c>
      <c r="I8" s="2">
        <v>7.1428570000000002</v>
      </c>
      <c r="J8" s="3">
        <f>'[1]Balance Sheet (normal)'!O8/'[1]Balance Sheet (normal)'!I8</f>
        <v>0.36804337534969866</v>
      </c>
      <c r="K8" s="3">
        <f>'[1]Balance Sheet (normal)'!O8/'[1]Balance Sheet (normal)'!P8</f>
        <v>0.58238708321691957</v>
      </c>
      <c r="L8" s="3">
        <v>0.23155200000000001</v>
      </c>
      <c r="M8" s="3">
        <v>0.111525</v>
      </c>
    </row>
    <row r="9" spans="1:13" x14ac:dyDescent="0.45">
      <c r="A9" s="1" t="s">
        <v>82</v>
      </c>
      <c r="B9" s="3">
        <v>0.17657400000000001</v>
      </c>
      <c r="C9" s="3">
        <v>8.5743E-2</v>
      </c>
      <c r="D9" s="3">
        <v>8.3607000000000001E-2</v>
      </c>
      <c r="E9" s="3">
        <v>4.2486000000000003E-2</v>
      </c>
      <c r="F9" s="3">
        <v>4.8344999999999999E-2</v>
      </c>
      <c r="G9" s="3">
        <v>9.0830999999999995E-2</v>
      </c>
      <c r="H9" s="2">
        <v>1.4124289999999999</v>
      </c>
      <c r="I9" s="2">
        <v>7.1428570000000002</v>
      </c>
      <c r="J9" s="3">
        <f>'[1]Balance Sheet (normal)'!O9/'[1]Balance Sheet (normal)'!I9</f>
        <v>0.37292008176242086</v>
      </c>
      <c r="K9" s="3">
        <f>'[1]Balance Sheet (normal)'!O9/'[1]Balance Sheet (normal)'!P9</f>
        <v>0.59469307008031835</v>
      </c>
      <c r="L9" s="3">
        <v>0.24518200000000001</v>
      </c>
      <c r="M9" s="3">
        <v>0.118089</v>
      </c>
    </row>
    <row r="10" spans="1:13" x14ac:dyDescent="0.45">
      <c r="A10" s="1" t="s">
        <v>83</v>
      </c>
      <c r="B10" s="3">
        <v>0.18069399999999999</v>
      </c>
      <c r="C10" s="3">
        <v>9.1625999999999999E-2</v>
      </c>
      <c r="D10" s="3">
        <v>8.8255E-2</v>
      </c>
      <c r="E10" s="3">
        <v>4.1797000000000001E-2</v>
      </c>
      <c r="F10" s="3">
        <v>4.7271000000000001E-2</v>
      </c>
      <c r="G10" s="3">
        <v>8.9067999999999994E-2</v>
      </c>
      <c r="H10" s="2">
        <v>1.4124289999999999</v>
      </c>
      <c r="I10" s="2">
        <v>7.1428580000000004</v>
      </c>
      <c r="J10" s="3">
        <f>'[1]Balance Sheet (normal)'!O10/'[1]Balance Sheet (normal)'!I10</f>
        <v>0.37779678817514317</v>
      </c>
      <c r="K10" s="3">
        <f>'[1]Balance Sheet (normal)'!O10/'[1]Balance Sheet (normal)'!P10</f>
        <v>0.60719196075363346</v>
      </c>
      <c r="L10" s="3">
        <v>0.25881199999999999</v>
      </c>
      <c r="M10" s="3">
        <v>0.124654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selection sqref="A1:A10"/>
    </sheetView>
  </sheetViews>
  <sheetFormatPr defaultRowHeight="14.25" x14ac:dyDescent="0.45"/>
  <sheetData>
    <row r="1" spans="1:3" x14ac:dyDescent="0.45">
      <c r="A1" s="1" t="s">
        <v>0</v>
      </c>
      <c r="B1" s="1" t="s">
        <v>53</v>
      </c>
      <c r="C1" s="1" t="s">
        <v>54</v>
      </c>
    </row>
    <row r="2" spans="1:3" x14ac:dyDescent="0.45">
      <c r="A2" s="1">
        <v>2022</v>
      </c>
      <c r="B2" s="2">
        <v>0</v>
      </c>
      <c r="C2" s="2">
        <v>0</v>
      </c>
    </row>
    <row r="3" spans="1:3" x14ac:dyDescent="0.45">
      <c r="A3" s="1">
        <v>2023</v>
      </c>
      <c r="B3" s="3">
        <v>0.18795266504627928</v>
      </c>
      <c r="C3" s="3">
        <v>0.18964010487010408</v>
      </c>
    </row>
    <row r="4" spans="1:3" x14ac:dyDescent="0.45">
      <c r="A4" s="1">
        <v>2024</v>
      </c>
      <c r="B4" s="3">
        <v>9.4757835346635944E-3</v>
      </c>
      <c r="C4" s="3">
        <v>-0.52230532923734474</v>
      </c>
    </row>
    <row r="5" spans="1:3" x14ac:dyDescent="0.45">
      <c r="A5" s="1" t="s">
        <v>78</v>
      </c>
      <c r="B5" s="3">
        <v>-7.5490000000000002E-3</v>
      </c>
      <c r="C5" s="3">
        <v>-0.118767</v>
      </c>
    </row>
    <row r="6" spans="1:3" x14ac:dyDescent="0.45">
      <c r="A6" s="1" t="s">
        <v>79</v>
      </c>
      <c r="B6" s="3">
        <v>0.14507300000000001</v>
      </c>
      <c r="C6" s="3">
        <v>0.22693099999999999</v>
      </c>
    </row>
    <row r="7" spans="1:3" x14ac:dyDescent="0.45">
      <c r="A7" s="1" t="s">
        <v>80</v>
      </c>
      <c r="B7" s="3">
        <v>0.18396799999999999</v>
      </c>
      <c r="C7" s="3">
        <v>0.26296000000000003</v>
      </c>
    </row>
    <row r="8" spans="1:3" x14ac:dyDescent="0.45">
      <c r="A8" s="1" t="s">
        <v>81</v>
      </c>
      <c r="B8" s="3">
        <v>0.27442699999999998</v>
      </c>
      <c r="C8" s="3">
        <v>0.35413499999999998</v>
      </c>
    </row>
    <row r="9" spans="1:3" x14ac:dyDescent="0.45">
      <c r="A9" s="1" t="s">
        <v>82</v>
      </c>
      <c r="B9" s="3">
        <v>0.25950299999999998</v>
      </c>
      <c r="C9" s="3">
        <v>0.33364199999999999</v>
      </c>
    </row>
    <row r="10" spans="1:3" x14ac:dyDescent="0.45">
      <c r="A10" s="1" t="s">
        <v>83</v>
      </c>
      <c r="B10" s="3">
        <v>0.248497</v>
      </c>
      <c r="C10" s="3">
        <v>0.31790299999999999</v>
      </c>
    </row>
    <row r="11" spans="1:3" x14ac:dyDescent="0.45">
      <c r="B11" s="3"/>
      <c r="C11" s="3"/>
    </row>
    <row r="12" spans="1:3" x14ac:dyDescent="0.45">
      <c r="B12" s="2"/>
      <c r="C12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selection sqref="A1:A10"/>
    </sheetView>
  </sheetViews>
  <sheetFormatPr defaultRowHeight="14.25" x14ac:dyDescent="0.45"/>
  <cols>
    <col min="2" max="2" width="15.33203125" bestFit="1" customWidth="1"/>
    <col min="4" max="4" width="11.73046875" bestFit="1" customWidth="1"/>
  </cols>
  <sheetData>
    <row r="1" spans="1:4" x14ac:dyDescent="0.45">
      <c r="A1" s="1" t="s">
        <v>0</v>
      </c>
      <c r="B1" s="1" t="s">
        <v>55</v>
      </c>
      <c r="C1" s="1" t="s">
        <v>56</v>
      </c>
      <c r="D1" s="1" t="s">
        <v>57</v>
      </c>
    </row>
    <row r="2" spans="1:4" x14ac:dyDescent="0.45">
      <c r="A2" s="1">
        <v>2022</v>
      </c>
      <c r="B2" s="2">
        <v>81462</v>
      </c>
      <c r="C2">
        <v>81.462000000000003</v>
      </c>
      <c r="D2" s="2">
        <v>0</v>
      </c>
    </row>
    <row r="3" spans="1:4" x14ac:dyDescent="0.45">
      <c r="A3" s="1">
        <v>2023</v>
      </c>
      <c r="B3" s="2">
        <v>96773</v>
      </c>
      <c r="C3">
        <v>96.772999999999996</v>
      </c>
      <c r="D3" s="2">
        <v>18.795266504627929</v>
      </c>
    </row>
    <row r="4" spans="1:4" x14ac:dyDescent="0.45">
      <c r="A4" s="1">
        <v>2024</v>
      </c>
      <c r="B4" s="2">
        <v>97690</v>
      </c>
      <c r="C4">
        <v>97.69</v>
      </c>
      <c r="D4" s="2">
        <v>0.94757835346635944</v>
      </c>
    </row>
    <row r="5" spans="1:4" x14ac:dyDescent="0.45">
      <c r="A5" s="1" t="s">
        <v>78</v>
      </c>
      <c r="B5" s="2">
        <v>96952.5</v>
      </c>
      <c r="C5">
        <v>96.951999999999998</v>
      </c>
      <c r="D5" s="2">
        <v>-0.75493900000000003</v>
      </c>
    </row>
    <row r="6" spans="1:4" x14ac:dyDescent="0.45">
      <c r="A6" s="1" t="s">
        <v>79</v>
      </c>
      <c r="B6" s="2">
        <v>111017.7</v>
      </c>
      <c r="C6">
        <v>111.018</v>
      </c>
      <c r="D6" s="2">
        <v>14.50731</v>
      </c>
    </row>
    <row r="7" spans="1:4" x14ac:dyDescent="0.45">
      <c r="A7" s="1" t="s">
        <v>80</v>
      </c>
      <c r="B7" s="2">
        <v>131441.4</v>
      </c>
      <c r="C7">
        <v>131.441</v>
      </c>
      <c r="D7" s="2">
        <v>18.396795999999998</v>
      </c>
    </row>
    <row r="8" spans="1:4" x14ac:dyDescent="0.45">
      <c r="A8" s="1" t="s">
        <v>81</v>
      </c>
      <c r="B8" s="2">
        <v>167512.5</v>
      </c>
      <c r="C8">
        <v>167.512</v>
      </c>
      <c r="D8" s="2">
        <v>27.442723999999998</v>
      </c>
    </row>
    <row r="9" spans="1:4" x14ac:dyDescent="0.45">
      <c r="A9" s="1" t="s">
        <v>82</v>
      </c>
      <c r="B9" s="2">
        <v>210982.5</v>
      </c>
      <c r="C9">
        <v>210.982</v>
      </c>
      <c r="D9" s="2">
        <v>25.950302000000001</v>
      </c>
    </row>
    <row r="10" spans="1:4" x14ac:dyDescent="0.45">
      <c r="A10" s="1" t="s">
        <v>83</v>
      </c>
      <c r="B10" s="2">
        <v>263411.09999999998</v>
      </c>
      <c r="C10">
        <v>263.411</v>
      </c>
      <c r="D10" s="2">
        <v>24.849739</v>
      </c>
    </row>
    <row r="11" spans="1:4" x14ac:dyDescent="0.45">
      <c r="B11" s="2"/>
    </row>
    <row r="12" spans="1:4" x14ac:dyDescent="0.45">
      <c r="B12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/>
  </sheetViews>
  <sheetFormatPr defaultRowHeight="14.25" x14ac:dyDescent="0.45"/>
  <sheetData>
    <row r="1" spans="1:2" x14ac:dyDescent="0.45">
      <c r="A1" s="1" t="s">
        <v>58</v>
      </c>
      <c r="B1" s="1" t="s">
        <v>59</v>
      </c>
    </row>
    <row r="2" spans="1:2" x14ac:dyDescent="0.45">
      <c r="A2" t="s">
        <v>60</v>
      </c>
      <c r="B2" t="s">
        <v>61</v>
      </c>
    </row>
    <row r="3" spans="1:2" x14ac:dyDescent="0.45">
      <c r="A3" t="s">
        <v>62</v>
      </c>
      <c r="B3" t="s">
        <v>63</v>
      </c>
    </row>
    <row r="4" spans="1:2" x14ac:dyDescent="0.45">
      <c r="A4" t="s">
        <v>64</v>
      </c>
      <c r="B4" t="s">
        <v>65</v>
      </c>
    </row>
    <row r="5" spans="1:2" x14ac:dyDescent="0.45">
      <c r="A5" t="s">
        <v>66</v>
      </c>
      <c r="B5" t="s">
        <v>67</v>
      </c>
    </row>
    <row r="6" spans="1:2" x14ac:dyDescent="0.45">
      <c r="A6" t="s">
        <v>68</v>
      </c>
      <c r="B6" t="s">
        <v>69</v>
      </c>
    </row>
    <row r="7" spans="1:2" x14ac:dyDescent="0.45">
      <c r="A7" t="s">
        <v>70</v>
      </c>
      <c r="B7" t="s">
        <v>71</v>
      </c>
    </row>
    <row r="8" spans="1:2" x14ac:dyDescent="0.45">
      <c r="A8" t="s">
        <v>72</v>
      </c>
      <c r="B8" t="s">
        <v>73</v>
      </c>
    </row>
    <row r="9" spans="1:2" x14ac:dyDescent="0.45">
      <c r="A9" t="s">
        <v>74</v>
      </c>
      <c r="B9" t="s">
        <v>75</v>
      </c>
    </row>
    <row r="10" spans="1:2" x14ac:dyDescent="0.45">
      <c r="A10" t="s">
        <v>76</v>
      </c>
      <c r="B10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Income Statement (conservative)</vt:lpstr>
      <vt:lpstr>Balance Sheet (conservative)</vt:lpstr>
      <vt:lpstr>Cash Flow (conservative)</vt:lpstr>
      <vt:lpstr>Financial Ratios (conservative)</vt:lpstr>
      <vt:lpstr>Growth Analysis (conservative)</vt:lpstr>
      <vt:lpstr>Revenue Details (conservative)</vt:lpstr>
      <vt:lpstr>Executive Summary (conservative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Liu</cp:lastModifiedBy>
  <dcterms:created xsi:type="dcterms:W3CDTF">2026-01-16T04:35:05Z</dcterms:created>
  <dcterms:modified xsi:type="dcterms:W3CDTF">2026-01-16T12:35:26Z</dcterms:modified>
</cp:coreProperties>
</file>